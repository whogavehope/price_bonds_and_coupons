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cuments\"/>
    </mc:Choice>
  </mc:AlternateContent>
  <xr:revisionPtr revIDLastSave="0" documentId="13_ncr:1_{419544F2-BA20-4B8C-8D2D-93C563A68314}" xr6:coauthVersionLast="47" xr6:coauthVersionMax="47" xr10:uidLastSave="{00000000-0000-0000-0000-000000000000}"/>
  <bookViews>
    <workbookView xWindow="-24120" yWindow="855" windowWidth="24240" windowHeight="13020" activeTab="1" xr2:uid="{86ED4BCB-D91E-480E-ADE8-CB50E9611153}"/>
  </bookViews>
  <sheets>
    <sheet name="Дашборд" sheetId="2" r:id="rId1"/>
    <sheet name="Основная таблица" sheetId="1" r:id="rId2"/>
    <sheet name="Операции" sheetId="7" r:id="rId3"/>
    <sheet name="Лист2" sheetId="6" state="hidden" r:id="rId4"/>
    <sheet name="Срок погашения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1" l="1"/>
  <c r="H8" i="1"/>
  <c r="AH33" i="1"/>
  <c r="AF33" i="1"/>
  <c r="AD33" i="1"/>
  <c r="AB33" i="1"/>
  <c r="Z33" i="1"/>
  <c r="X33" i="1"/>
  <c r="V33" i="1"/>
  <c r="R33" i="1"/>
  <c r="T33" i="1"/>
  <c r="P33" i="1"/>
  <c r="N33" i="1"/>
  <c r="L33" i="1"/>
  <c r="E33" i="1"/>
  <c r="F33" i="1" s="1"/>
  <c r="AH28" i="1"/>
  <c r="AF28" i="1"/>
  <c r="AD28" i="1"/>
  <c r="AB28" i="1"/>
  <c r="Z28" i="1"/>
  <c r="X28" i="1"/>
  <c r="V28" i="1"/>
  <c r="T28" i="1"/>
  <c r="R28" i="1"/>
  <c r="P28" i="1"/>
  <c r="N28" i="1"/>
  <c r="L28" i="1"/>
  <c r="R2" i="1"/>
  <c r="R3" i="1"/>
  <c r="R4" i="1"/>
  <c r="R5" i="1"/>
  <c r="R6" i="1"/>
  <c r="R7" i="1"/>
  <c r="R8" i="1"/>
  <c r="R10" i="1"/>
  <c r="R9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P2" i="1"/>
  <c r="P3" i="1"/>
  <c r="P4" i="1"/>
  <c r="P5" i="1"/>
  <c r="P6" i="1"/>
  <c r="P7" i="1"/>
  <c r="P8" i="1"/>
  <c r="P10" i="1"/>
  <c r="P9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N2" i="1"/>
  <c r="N3" i="1"/>
  <c r="N4" i="1"/>
  <c r="N5" i="1"/>
  <c r="N6" i="1"/>
  <c r="N7" i="1"/>
  <c r="N8" i="1"/>
  <c r="N10" i="1"/>
  <c r="N9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E31" i="1"/>
  <c r="N31" i="1" s="1"/>
  <c r="E29" i="1"/>
  <c r="R29" i="1" s="1"/>
  <c r="H33" i="1"/>
  <c r="I33" i="1"/>
  <c r="J33" i="1"/>
  <c r="D25" i="2"/>
  <c r="D32" i="1" s="1"/>
  <c r="E32" i="1" s="1"/>
  <c r="N32" i="1" s="1"/>
  <c r="E30" i="1"/>
  <c r="N30" i="1" s="1"/>
  <c r="H32" i="1"/>
  <c r="I32" i="1"/>
  <c r="H31" i="1"/>
  <c r="I31" i="1"/>
  <c r="J31" i="1"/>
  <c r="AF2" i="1"/>
  <c r="P32" i="1" l="1"/>
  <c r="AI33" i="1"/>
  <c r="F31" i="1"/>
  <c r="R32" i="1"/>
  <c r="R31" i="1"/>
  <c r="R30" i="1"/>
  <c r="P30" i="1"/>
  <c r="P31" i="1"/>
  <c r="P29" i="1"/>
  <c r="N29" i="1"/>
  <c r="L32" i="1"/>
  <c r="V32" i="1"/>
  <c r="AD32" i="1"/>
  <c r="X32" i="1"/>
  <c r="AF32" i="1"/>
  <c r="Z32" i="1"/>
  <c r="AH32" i="1"/>
  <c r="AB32" i="1"/>
  <c r="T32" i="1"/>
  <c r="F32" i="1"/>
  <c r="J32" i="1"/>
  <c r="AB31" i="1"/>
  <c r="T31" i="1"/>
  <c r="AD31" i="1"/>
  <c r="V31" i="1"/>
  <c r="L31" i="1"/>
  <c r="AH31" i="1"/>
  <c r="Z31" i="1"/>
  <c r="AF31" i="1"/>
  <c r="X31" i="1"/>
  <c r="H3" i="1"/>
  <c r="H4" i="1"/>
  <c r="H5" i="1"/>
  <c r="H6" i="1"/>
  <c r="H7" i="1"/>
  <c r="H10" i="1"/>
  <c r="H9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2" i="1"/>
  <c r="I2" i="1"/>
  <c r="I3" i="1"/>
  <c r="I4" i="1"/>
  <c r="I5" i="1"/>
  <c r="I6" i="1"/>
  <c r="I7" i="1"/>
  <c r="I8" i="1"/>
  <c r="I10" i="1"/>
  <c r="I9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AI32" i="1" l="1"/>
  <c r="AI31" i="1"/>
  <c r="J30" i="1"/>
  <c r="F30" i="1" l="1"/>
  <c r="Z30" i="1"/>
  <c r="T30" i="1"/>
  <c r="AH30" i="1"/>
  <c r="AB30" i="1"/>
  <c r="AF30" i="1"/>
  <c r="X30" i="1"/>
  <c r="L30" i="1"/>
  <c r="AD30" i="1"/>
  <c r="V30" i="1"/>
  <c r="L8" i="1"/>
  <c r="L2" i="1"/>
  <c r="L3" i="1"/>
  <c r="L4" i="1"/>
  <c r="L5" i="1"/>
  <c r="L6" i="1"/>
  <c r="L7" i="1"/>
  <c r="L29" i="1"/>
  <c r="J29" i="1"/>
  <c r="AI30" i="1" l="1"/>
  <c r="X29" i="1"/>
  <c r="AH29" i="1"/>
  <c r="AB29" i="1"/>
  <c r="Z29" i="1"/>
  <c r="AF29" i="1"/>
  <c r="T29" i="1"/>
  <c r="F29" i="1"/>
  <c r="AD29" i="1"/>
  <c r="V29" i="1"/>
  <c r="J2" i="1"/>
  <c r="J3" i="1"/>
  <c r="J4" i="1"/>
  <c r="J5" i="1"/>
  <c r="J6" i="1"/>
  <c r="J7" i="1"/>
  <c r="AI29" i="1" l="1"/>
  <c r="F28" i="1" l="1"/>
  <c r="J28" i="1"/>
  <c r="AH8" i="1"/>
  <c r="AH10" i="1"/>
  <c r="AH9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F8" i="1"/>
  <c r="AF10" i="1"/>
  <c r="AF9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D8" i="1"/>
  <c r="AD10" i="1"/>
  <c r="AD9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B8" i="1"/>
  <c r="AB10" i="1"/>
  <c r="AB9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Z8" i="1"/>
  <c r="Z10" i="1"/>
  <c r="Z9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X8" i="1"/>
  <c r="X10" i="1"/>
  <c r="X9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V8" i="1"/>
  <c r="V10" i="1"/>
  <c r="V9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T8" i="1"/>
  <c r="T10" i="1"/>
  <c r="T9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L10" i="1"/>
  <c r="L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J8" i="1"/>
  <c r="J10" i="1"/>
  <c r="J9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9" i="1"/>
  <c r="F10" i="1"/>
  <c r="F8" i="1"/>
  <c r="F3" i="1"/>
  <c r="F4" i="1"/>
  <c r="F5" i="1"/>
  <c r="F6" i="1"/>
  <c r="F7" i="1"/>
  <c r="F2" i="1"/>
  <c r="AI24" i="1" l="1"/>
  <c r="AI21" i="1"/>
  <c r="AI15" i="1"/>
  <c r="AI13" i="1"/>
  <c r="AI11" i="1"/>
  <c r="AI27" i="1"/>
  <c r="AI25" i="1"/>
  <c r="AI23" i="1"/>
  <c r="AI19" i="1"/>
  <c r="AI17" i="1"/>
  <c r="AI14" i="1"/>
  <c r="AI26" i="1"/>
  <c r="AI20" i="1"/>
  <c r="AI9" i="1"/>
  <c r="AI8" i="1"/>
  <c r="AI22" i="1"/>
  <c r="AI18" i="1"/>
  <c r="AI16" i="1"/>
  <c r="AI12" i="1"/>
  <c r="AI10" i="1"/>
  <c r="AI28" i="1"/>
  <c r="F34" i="1"/>
  <c r="V2" i="1" l="1"/>
  <c r="AB2" i="1"/>
  <c r="T2" i="1"/>
  <c r="Z2" i="1"/>
  <c r="AH2" i="1"/>
  <c r="AB6" i="1"/>
  <c r="AF6" i="1"/>
  <c r="V6" i="1"/>
  <c r="AD6" i="1"/>
  <c r="AH6" i="1"/>
  <c r="Z6" i="1"/>
  <c r="X6" i="1"/>
  <c r="T6" i="1"/>
  <c r="AH5" i="1"/>
  <c r="AF5" i="1"/>
  <c r="AD5" i="1"/>
  <c r="Z5" i="1"/>
  <c r="AB5" i="1"/>
  <c r="X5" i="1"/>
  <c r="T5" i="1"/>
  <c r="V5" i="1"/>
  <c r="AF7" i="1"/>
  <c r="T7" i="1"/>
  <c r="AD7" i="1"/>
  <c r="Z7" i="1"/>
  <c r="AH7" i="1"/>
  <c r="X7" i="1"/>
  <c r="AB7" i="1"/>
  <c r="V7" i="1"/>
  <c r="AB4" i="1"/>
  <c r="X4" i="1"/>
  <c r="V4" i="1"/>
  <c r="Z4" i="1"/>
  <c r="T4" i="1"/>
  <c r="AF4" i="1"/>
  <c r="AH4" i="1"/>
  <c r="AD4" i="1"/>
  <c r="X2" i="1"/>
  <c r="AD2" i="1"/>
  <c r="V3" i="1"/>
  <c r="Z3" i="1"/>
  <c r="AB3" i="1"/>
  <c r="AF3" i="1"/>
  <c r="AD3" i="1"/>
  <c r="T3" i="1"/>
  <c r="X3" i="1"/>
  <c r="AH3" i="1"/>
  <c r="AI6" i="1" l="1"/>
  <c r="AI7" i="1"/>
  <c r="AB34" i="1"/>
  <c r="AI5" i="1"/>
  <c r="P34" i="1"/>
  <c r="AI4" i="1"/>
  <c r="AF34" i="1"/>
  <c r="J34" i="1"/>
  <c r="B2" i="2" s="1"/>
  <c r="R34" i="1"/>
  <c r="AI2" i="1"/>
  <c r="AH34" i="1"/>
  <c r="AI3" i="1"/>
  <c r="AD34" i="1"/>
  <c r="Z34" i="1"/>
  <c r="T34" i="1"/>
  <c r="N34" i="1"/>
  <c r="X34" i="1"/>
  <c r="V34" i="1"/>
  <c r="L34" i="1"/>
  <c r="AI34" i="1" l="1"/>
  <c r="A2" i="2"/>
  <c r="B25" i="2" s="1"/>
  <c r="C25" i="2" l="1"/>
  <c r="AH4" i="2"/>
  <c r="AG4" i="2" s="1"/>
  <c r="C2" i="2"/>
  <c r="A25" i="2" s="1"/>
</calcChain>
</file>

<file path=xl/sharedStrings.xml><?xml version="1.0" encoding="utf-8"?>
<sst xmlns="http://schemas.openxmlformats.org/spreadsheetml/2006/main" count="212" uniqueCount="138">
  <si>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</si>
  <si>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</si>
  <si>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</si>
  <si>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</si>
  <si>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</si>
  <si>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</si>
  <si>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</si>
  <si>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</si>
  <si>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</si>
  <si>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</si>
  <si>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</si>
  <si>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</si>
  <si>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SU26238RMFS4</t>
  </si>
  <si>
    <t>Идентификатор</t>
  </si>
  <si>
    <t>Название</t>
  </si>
  <si>
    <t>Цена</t>
  </si>
  <si>
    <t>Купон</t>
  </si>
  <si>
    <t>Сумма</t>
  </si>
  <si>
    <t>Количество</t>
  </si>
  <si>
    <t>Затраты на покупку</t>
  </si>
  <si>
    <t>Доходность</t>
  </si>
  <si>
    <t>whoosh выпуск 2</t>
  </si>
  <si>
    <t>RU000A106HB4</t>
  </si>
  <si>
    <t>RU000A106268</t>
  </si>
  <si>
    <t>RU000A104JQ3</t>
  </si>
  <si>
    <t>RU000A106A86</t>
  </si>
  <si>
    <t>Камаз БО-П11</t>
  </si>
  <si>
    <t>RU000A107MM9</t>
  </si>
  <si>
    <t>ЛСР выпуск 6</t>
  </si>
  <si>
    <t>RU000A102T63</t>
  </si>
  <si>
    <t>ЛСР выпуск 7</t>
  </si>
  <si>
    <t>ОФЗ 26207</t>
  </si>
  <si>
    <t>ОФЗ 26218</t>
  </si>
  <si>
    <t>ОФЗ 26219</t>
  </si>
  <si>
    <t>ОФЗ 26226</t>
  </si>
  <si>
    <t>ОФЗ 26229</t>
  </si>
  <si>
    <t>ОФЗ 26232</t>
  </si>
  <si>
    <t>ОФЗ 26238</t>
  </si>
  <si>
    <t>ОФЗ 26243</t>
  </si>
  <si>
    <t>ОФЗ 29014</t>
  </si>
  <si>
    <t>ОФЗ 29016</t>
  </si>
  <si>
    <t>ОФЗ 29022</t>
  </si>
  <si>
    <t>ОФЗ 29025</t>
  </si>
  <si>
    <t>РЖД БО 001Р-26R</t>
  </si>
  <si>
    <t>ФОСАГРО БО -П01</t>
  </si>
  <si>
    <t>Пассивный доход</t>
  </si>
  <si>
    <t>Тинькофф Imoex</t>
  </si>
  <si>
    <t>RU000A103PX8</t>
  </si>
  <si>
    <t>RU000A105ZP8</t>
  </si>
  <si>
    <t>RU000A1009Z8</t>
  </si>
  <si>
    <t>SU26207RMFS9</t>
  </si>
  <si>
    <t>SU26226RMFS9</t>
  </si>
  <si>
    <t>SU29022RMFS9</t>
  </si>
  <si>
    <t>SU26218RMFS6</t>
  </si>
  <si>
    <t>SU29014RMFS6</t>
  </si>
  <si>
    <t>SU26219RMFS4</t>
  </si>
  <si>
    <t>SU26243RMFS4</t>
  </si>
  <si>
    <t>SU26222RMFS8</t>
  </si>
  <si>
    <t>SU26229RMFS3</t>
  </si>
  <si>
    <t>SU26234RMFS3</t>
  </si>
  <si>
    <t>SU26232RMFS7</t>
  </si>
  <si>
    <t>SU29016RMFS1</t>
  </si>
  <si>
    <t>SU29025RMFS2</t>
  </si>
  <si>
    <t>RU000A103D37</t>
  </si>
  <si>
    <t>RU000A106K43</t>
  </si>
  <si>
    <t>RU000A106516</t>
  </si>
  <si>
    <t>TRAY</t>
  </si>
  <si>
    <t>TMOS</t>
  </si>
  <si>
    <t>TMON</t>
  </si>
  <si>
    <t>Итог</t>
  </si>
  <si>
    <t>Январь2</t>
  </si>
  <si>
    <t>Февраль2</t>
  </si>
  <si>
    <t>Март2</t>
  </si>
  <si>
    <t>Апрель2</t>
  </si>
  <si>
    <t>Май2</t>
  </si>
  <si>
    <t>Июнь2</t>
  </si>
  <si>
    <t>Июль2</t>
  </si>
  <si>
    <t>Август2</t>
  </si>
  <si>
    <t>Сентябрь2</t>
  </si>
  <si>
    <t>Октябрь2</t>
  </si>
  <si>
    <t>Ноябрь2</t>
  </si>
  <si>
    <t>Декабрь2</t>
  </si>
  <si>
    <t>SU26233RMFS5</t>
  </si>
  <si>
    <t>SU26240RMFS0</t>
  </si>
  <si>
    <t>SU26230RMFS1</t>
  </si>
  <si>
    <t>SU26225RMFS1</t>
  </si>
  <si>
    <t>Необходимые инвестиции</t>
  </si>
  <si>
    <t>Средняя выплата в месяц</t>
  </si>
  <si>
    <t>Средняя купонная доходность за год</t>
  </si>
  <si>
    <t>Вклад</t>
  </si>
  <si>
    <t>Цель</t>
  </si>
  <si>
    <t>Цель в месяц</t>
  </si>
  <si>
    <t>Баланс</t>
  </si>
  <si>
    <t>Денежный рынок</t>
  </si>
  <si>
    <t>Крутилка кредитки</t>
  </si>
  <si>
    <t>Облигаций до цели:</t>
  </si>
  <si>
    <t>Сумма до цели</t>
  </si>
  <si>
    <t>Ипотека</t>
  </si>
  <si>
    <t>Срок погашения</t>
  </si>
  <si>
    <t>Купонов в год</t>
  </si>
  <si>
    <t>Сумма процентов через год</t>
  </si>
  <si>
    <t>Названия строк</t>
  </si>
  <si>
    <t>Общий итог</t>
  </si>
  <si>
    <t>Январь купон</t>
  </si>
  <si>
    <t>Февраль купон</t>
  </si>
  <si>
    <t>Март купон</t>
  </si>
  <si>
    <t>Апрель купон</t>
  </si>
  <si>
    <t>Май купон</t>
  </si>
  <si>
    <t>Июнь купон</t>
  </si>
  <si>
    <t>Июль купон</t>
  </si>
  <si>
    <t>Август купон</t>
  </si>
  <si>
    <t>Сентябрь купон</t>
  </si>
  <si>
    <t>Октябрь купон</t>
  </si>
  <si>
    <t>Ноябрь купон</t>
  </si>
  <si>
    <t>Декабрь купон</t>
  </si>
  <si>
    <t>ОФЗ 26233</t>
  </si>
  <si>
    <t>ОФЗ 26240</t>
  </si>
  <si>
    <t>ОФЗ 26230</t>
  </si>
  <si>
    <t>ОФЗ 26225</t>
  </si>
  <si>
    <t>Тип</t>
  </si>
  <si>
    <t>ОФЗ</t>
  </si>
  <si>
    <t>Корп.обл.</t>
  </si>
  <si>
    <t>Фонд</t>
  </si>
  <si>
    <t>Сумма по полю Затраты на покупку</t>
  </si>
  <si>
    <t>Сумма пополнения на ИИС</t>
  </si>
  <si>
    <t>Возврат по ИИС</t>
  </si>
  <si>
    <t>Налог</t>
  </si>
  <si>
    <t>Дата</t>
  </si>
  <si>
    <t>Тип операции</t>
  </si>
  <si>
    <t>Пополнение вклада</t>
  </si>
  <si>
    <t>Пополнение ИИС</t>
  </si>
  <si>
    <t>Мои деньги</t>
  </si>
  <si>
    <t>Счет кредитки</t>
  </si>
  <si>
    <t>Списание</t>
  </si>
  <si>
    <t>Отпуск</t>
  </si>
  <si>
    <t>Татуировка</t>
  </si>
  <si>
    <t>Вклад яндекс</t>
  </si>
  <si>
    <t>Каршеринг Руссия 001Р-02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</si>
</sst>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rgb="FF333333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48"/>
      <color theme="1"/>
      <name val="Calibri"/>
      <family val="2"/>
      <charset val="204"/>
      <scheme val="minor"/>
    </font>
    <font>
      <b/>
      <sz val="72"/>
      <color theme="1"/>
      <name val="Calibri"/>
      <family val="2"/>
      <charset val="204"/>
      <scheme val="minor"/>
    </font>
    <font>
      <sz val="14"/>
      <color theme="1"/>
      <name val="Impact"/>
      <family val="2"/>
      <charset val="204"/>
    </font>
    <font>
      <sz val="24"/>
      <color rgb="FFFF0000"/>
      <name val="Impact"/>
      <family val="2"/>
      <charset val="204"/>
    </font>
    <font>
      <sz val="24"/>
      <color rgb="FF0070C0"/>
      <name val="Impact"/>
      <family val="2"/>
      <charset val="204"/>
    </font>
    <font>
      <sz val="24"/>
      <color rgb="FF00B050"/>
      <name val="Impact"/>
      <family val="2"/>
      <charset val="204"/>
    </font>
    <font>
      <sz val="11"/>
      <color rgb="FF000000"/>
      <name val="Calibri"/>
      <family val="2"/>
      <charset val="204"/>
    </font>
    <font>
      <sz val="12"/>
      <color theme="1"/>
      <name val="Impact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5" fillId="0" borderId="0" xfId="0" applyFont="1"/>
    <xf numFmtId="9" fontId="9" fillId="0" borderId="0" xfId="1" applyFont="1" applyAlignment="1">
      <alignment vertical="center"/>
    </xf>
    <xf numFmtId="9" fontId="8" fillId="0" borderId="0" xfId="1" applyFont="1" applyAlignment="1">
      <alignment vertical="center"/>
    </xf>
    <xf numFmtId="9" fontId="6" fillId="0" borderId="0" xfId="1" applyFont="1" applyAlignment="1">
      <alignment vertical="center"/>
    </xf>
    <xf numFmtId="1" fontId="7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164" fontId="6" fillId="0" borderId="0" xfId="1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4" fontId="5" fillId="0" borderId="0" xfId="0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0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5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0" borderId="0" xfId="0" applyNumberFormat="1"/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/>
    <xf numFmtId="14" fontId="0" fillId="0" borderId="0" xfId="0" applyNumberFormat="1" applyAlignment="1">
      <alignment vertical="center" wrapText="1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93">
    <dxf>
      <numFmt numFmtId="19" formatCode="dd/mm/yyyy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</font>
    </dxf>
    <dxf>
      <font>
        <i val="0"/>
      </font>
    </dxf>
    <dxf>
      <font>
        <sz val="12"/>
      </font>
    </dxf>
    <dxf>
      <font>
        <sz val="14"/>
      </font>
    </dxf>
    <dxf>
      <font>
        <name val="Impact"/>
        <scheme val="none"/>
      </font>
    </dxf>
    <dxf>
      <numFmt numFmtId="1" formatCode="0"/>
    </dxf>
    <dxf>
      <font>
        <b val="0"/>
      </font>
    </dxf>
    <dxf>
      <font>
        <i val="0"/>
      </font>
    </dxf>
    <dxf>
      <font>
        <u val="none"/>
      </font>
    </dxf>
    <dxf>
      <font>
        <i/>
      </font>
    </dxf>
    <dxf>
      <font>
        <b/>
      </font>
    </dxf>
    <dxf>
      <font>
        <name val="Impact"/>
        <scheme val="none"/>
      </font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7"/>
          <c:order val="0"/>
          <c:tx>
            <c:v>Деления</c:v>
          </c:tx>
          <c:spPr>
            <a:solidFill>
              <a:schemeClr val="accent1"/>
            </a:solidFill>
          </c:spPr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C6-472F-9799-BBEE7C883423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C6-472F-9799-BBEE7C883423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C6-472F-9799-BBEE7C883423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C6-472F-9799-BBEE7C883423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C6-472F-9799-BBEE7C88342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9C6-472F-9799-BBEE7C883423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9C6-472F-9799-BBEE7C883423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9C6-472F-9799-BBEE7C883423}"/>
              </c:ext>
            </c:extLst>
          </c:dPt>
          <c:dPt>
            <c:idx val="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9C6-472F-9799-BBEE7C883423}"/>
              </c:ext>
            </c:extLst>
          </c:dPt>
          <c:dPt>
            <c:idx val="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9C6-472F-9799-BBEE7C883423}"/>
              </c:ext>
            </c:extLst>
          </c:dPt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0"/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F5D05F6E-A05E-4728-AFD3-386EB277150F}">
              <c16:categoryFilterExceptions>
                <c16:categoryFilterException>
                  <c16:uniqueId val="{00000018-7923-44D3-A417-86EC818877C9}"/>
                  <c16:spPr xmlns:c16="http://schemas.microsoft.com/office/drawing/2014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9-7923-44D3-A417-86EC818877C9}"/>
                  <c16:spPr xmlns:c16="http://schemas.microsoft.com/office/drawing/2014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A-7923-44D3-A417-86EC818877C9}"/>
                  <c16:spPr xmlns:c16="http://schemas.microsoft.com/office/drawing/2014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B-7923-44D3-A417-86EC818877C9}"/>
                  <c16:spPr xmlns:c16="http://schemas.microsoft.com/office/drawing/2014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C-7923-44D3-A417-86EC818877C9}"/>
                  <c16:spPr xmlns:c16="http://schemas.microsoft.com/office/drawing/2014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D-7923-44D3-A417-86EC818877C9}"/>
                  <c16:spPr xmlns:c16="http://schemas.microsoft.com/office/drawing/2014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E-7923-44D3-A417-86EC818877C9}"/>
                  <c16:spPr xmlns:c16="http://schemas.microsoft.com/office/drawing/2014/chart"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1F-7923-44D3-A417-86EC818877C9}"/>
                  <c16:spPr xmlns:c16="http://schemas.microsoft.com/office/drawing/2014/chart"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20-7923-44D3-A417-86EC818877C9}"/>
                  <c16:spPr xmlns:c16="http://schemas.microsoft.com/office/drawing/2014/chart">
                    <a:solidFill>
                      <a:schemeClr val="accent1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  <c16:categoryFilterException>
                  <c16:uniqueId val="{00000021-7923-44D3-A417-86EC818877C9}"/>
                  <c16:spPr xmlns:c16="http://schemas.microsoft.com/office/drawing/2014/chart">
                    <a:solidFill>
                      <a:schemeClr val="accent2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6:spPr>
                  <c16:bubble3D val="0"/>
                </c16:categoryFilterException>
              </c16:categoryFilterExceptions>
            </c:ext>
            <c:ext xmlns:c16="http://schemas.microsoft.com/office/drawing/2014/chart" uri="{C5897E43-82E2-4C41-B96C-FBF1F857EA46}">
              <c16:datapointuniqueidmap xmlns:c16="http://schemas.microsoft.com/office/drawing/2014/chart">
                <c16:ptentry>
                  <c16:ptidx>10</c16:ptidx>
                  <c16:uniqueID val="{00000018-7923-44D3-A417-86EC818877C9}"/>
                </c16:ptentry>
                <c16:ptentry>
                  <c16:ptidx>11</c16:ptidx>
                  <c16:uniqueID val="{00000019-7923-44D3-A417-86EC818877C9}"/>
                </c16:ptentry>
                <c16:ptentry>
                  <c16:ptidx>12</c16:ptidx>
                  <c16:uniqueID val="{0000001A-7923-44D3-A417-86EC818877C9}"/>
                </c16:ptentry>
                <c16:ptentry>
                  <c16:ptidx>13</c16:ptidx>
                  <c16:uniqueID val="{0000001B-7923-44D3-A417-86EC818877C9}"/>
                </c16:ptentry>
                <c16:ptentry>
                  <c16:ptidx>14</c16:ptidx>
                  <c16:uniqueID val="{0000001C-7923-44D3-A417-86EC818877C9}"/>
                </c16:ptentry>
                <c16:ptentry>
                  <c16:ptidx>15</c16:ptidx>
                  <c16:uniqueID val="{0000001D-7923-44D3-A417-86EC818877C9}"/>
                </c16:ptentry>
                <c16:ptentry>
                  <c16:ptidx>16</c16:ptidx>
                  <c16:uniqueID val="{0000001E-7923-44D3-A417-86EC818877C9}"/>
                </c16:ptentry>
                <c16:ptentry>
                  <c16:ptidx>17</c16:ptidx>
                  <c16:uniqueID val="{0000001F-7923-44D3-A417-86EC818877C9}"/>
                </c16:ptentry>
                <c16:ptentry>
                  <c16:ptidx>18</c16:ptidx>
                  <c16:uniqueID val="{00000020-7923-44D3-A417-86EC818877C9}"/>
                </c16:ptentry>
                <c16:ptentry>
                  <c16:ptidx>19</c16:ptidx>
                  <c16:uniqueID val="{00000021-7923-44D3-A417-86EC818877C9}"/>
                </c16:ptentry>
              </c16:datapointuniqueidmap>
            </c:ext>
            <c:ext xmlns:c16="http://schemas.microsoft.com/office/drawing/2014/chart" uri="{C3380CC4-5D6E-409C-BE32-E72D297353CC}">
              <c16:uniqueId val="{00000007-4939-4B7C-9773-6AF89878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doughnutChart>
        <c:varyColors val="1"/>
        <c:ser>
          <c:idx val="0"/>
          <c:order val="1"/>
          <c:tx>
            <c:v>Значения</c:v>
          </c:tx>
          <c:dPt>
            <c:idx val="0"/>
            <c:bubble3D val="0"/>
            <c:spPr>
              <a:solidFill>
                <a:schemeClr val="bg1">
                  <a:alpha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AE7-4316-BD8C-48D52D06F41C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AE7-4316-BD8C-48D52D06F41C}"/>
              </c:ext>
            </c:extLst>
          </c:dPt>
          <c:val>
            <c:numRef>
              <c:f>Дашборд!$AG$4:$AH$4</c:f>
              <c:numCache>
                <c:formatCode>0.0%</c:formatCode>
                <c:ptCount val="2"/>
                <c:pt idx="0" formatCode="0%">
                  <c:v>8.4893366666666692E-2</c:v>
                </c:pt>
                <c:pt idx="1">
                  <c:v>0.91510663333333331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A6F-4C84-9908-137123685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[Расчет доходности.xlsm]Лист2!Сводная таблица8</c:name>
    <c:fmtId val="2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2792371016979429"/>
          <c:y val="7.3890215139617299E-2"/>
          <c:w val="0.54799438733074679"/>
          <c:h val="0.81235357149343457"/>
        </c:manualLayout>
      </c:layout>
      <c:doughnutChart>
        <c:varyColors val="1"/>
        <c:ser>
          <c:idx val="0"/>
          <c:order val="0"/>
          <c:tx>
            <c:strRef>
              <c:f>Лист2!$B$1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F99-4E89-91E8-79408086AB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F99-4E89-91E8-79408086AB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F99-4E89-91E8-79408086AB1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F99-4E89-91E8-79408086AB1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F99-4E89-91E8-79408086AB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Лист2!$A$2:$A$7</c:f>
              <c:strCache>
                <c:ptCount val="5"/>
                <c:pt idx="0">
                  <c:v>Вклад</c:v>
                </c:pt>
                <c:pt idx="1">
                  <c:v>Корп.обл.</c:v>
                </c:pt>
                <c:pt idx="2">
                  <c:v>ОФЗ</c:v>
                </c:pt>
                <c:pt idx="3">
                  <c:v>Фонд</c:v>
                </c:pt>
                <c:pt idx="4">
                  <c:v>Налог</c:v>
                </c:pt>
              </c:strCache>
            </c:strRef>
          </c:cat>
          <c:val>
            <c:numRef>
              <c:f>Лист2!$B$2:$B$7</c:f>
              <c:numCache>
                <c:formatCode>General</c:formatCode>
                <c:ptCount val="5"/>
                <c:pt idx="0">
                  <c:v>195278.65</c:v>
                </c:pt>
                <c:pt idx="1">
                  <c:v>11068.52</c:v>
                </c:pt>
                <c:pt idx="2">
                  <c:v>111722.18000000001</c:v>
                </c:pt>
                <c:pt idx="3">
                  <c:v>12943.213100000001</c:v>
                </c:pt>
                <c:pt idx="4">
                  <c:v>10704.539299999999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3-4AD6-A921-C39CE0E3F6F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19048</xdr:colOff>
      <xdr:row>2</xdr:row>
      <xdr:rowOff>0</xdr:rowOff>
    </xdr:from>
    <xdr:to>
      <xdr:col>3</xdr:col>
      <xdr:colOff>2047874</xdr:colOff>
      <xdr:row>23</xdr:row>
      <xdr:rowOff>257735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2050676</xdr:colOff>
      <xdr:row>3</xdr:row>
      <xdr:rowOff>190499</xdr:rowOff>
    </xdr:from>
    <xdr:to>
      <xdr:col>15</xdr:col>
      <xdr:colOff>537882</xdr:colOff>
      <xdr:row>24</xdr:row>
      <xdr:rowOff>380999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437029</xdr:colOff>
      <xdr:row>13</xdr:row>
      <xdr:rowOff>179293</xdr:rowOff>
    </xdr:from>
    <xdr:to>
      <xdr:col>11</xdr:col>
      <xdr:colOff>302559</xdr:colOff>
      <xdr:row>17</xdr:row>
      <xdr:rowOff>1</xdr:rowOff>
    </xdr:to>
    <xdr:sp macro="" textlink="$B$2">
      <xdr:nvSpPr>
        <xdr:cNvPr id="5" name="Text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0858500" y="3709146"/>
          <a:ext cx="1322294" cy="582708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fld id="{1C1BEE4D-E5FC-47D8-8157-F79FAE6AF40D}" type="TxLink">
            <a:rPr lang="en-US" sz="2800" b="0" i="0" u="none" strike="noStrike">
              <a:solidFill>
                <a:srgbClr val="0070C0"/>
              </a:solidFill>
              <a:latin typeface="Impact"/>
            </a:rPr>
            <a:pPr/>
            <a:t>466783</a:t>
          </a:fld>
          <a:endParaRPr lang="ru-RU" sz="2000">
            <a:solidFill>
              <a:srgbClr val="0070C0"/>
            </a:solidFill>
            <a:latin typeface="Impact" panose="020B0806030902050204" pitchFamily="34" charset="0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0.39067</cdr:x>
      <cdr:y>0.40274</cdr:y>
    </cdr:from>
    <cdr:to>
      <cdr:x>0.65268</cdr:x>
      <cdr:y>0.59751</cdr:y>
    </cdr:to>
    <cdr:sp macro="" textlink="Дашборд!$AH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3FB3917-3AE3-4457-AF6B-D46F45437555}"/>
            </a:ext>
          </a:extLst>
        </cdr:cNvPr>
        <cdr:cNvSpPr txBox="1"/>
      </cdr:nvSpPr>
      <cdr:spPr>
        <a:xfrm xmlns:a="http://schemas.openxmlformats.org/drawingml/2006/main">
          <a:off x="3192718" y="1849005"/>
          <a:ext cx="2141283" cy="894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78143B7-3938-4F97-9E59-6BD34AD80826}" type="TxLink">
            <a:rPr lang="en-US" sz="4800" b="1" i="0" u="none" strike="noStrike">
              <a:solidFill>
                <a:srgbClr val="0070C0"/>
              </a:solidFill>
              <a:latin typeface="Impact" panose="020B0806030902050204" pitchFamily="34" charset="0"/>
            </a:rPr>
            <a:pPr/>
            <a:t>91,5%</a:t>
          </a:fld>
          <a:endParaRPr lang="ru-RU" sz="4000">
            <a:solidFill>
              <a:srgbClr val="0070C0"/>
            </a:solidFill>
            <a:latin typeface="Impact" panose="020B080603090205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2</xdr:row>
          <xdr:rowOff>0</xdr:rowOff>
        </xdr:from>
        <xdr:to>
          <xdr:col>6</xdr:col>
          <xdr:colOff>314325</xdr:colOff>
          <xdr:row>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670.591626157409" createdVersion="7" refreshedVersion="7" minRefreshableVersion="3" recordCount="34" xr:uid="{957EE55E-8706-4D3A-883C-783CA968DED2}">
  <cacheSource type="worksheet">
    <worksheetSource name="Таблица1"/>
  </cacheSource>
  <cacheFields count="35">
    <cacheField name="Название" numFmtId="0">
      <sharedItems/>
    </cacheField>
    <cacheField name="Идентификатор" numFmtId="0">
      <sharedItems/>
    </cacheField>
    <cacheField name="Тип" numFmtId="0">
      <sharedItems count="5">
        <s v="ОФЗ"/>
        <s v="Корп.обл."/>
        <s v="Фонд"/>
        <s v="Вклад"/>
        <s v="Налог"/>
      </sharedItems>
    </cacheField>
    <cacheField name="Цена" numFmtId="0">
      <sharedItems containsSemiMixedTypes="0" containsString="0" containsNumber="1" minValue="1.5743" maxValue="131955"/>
    </cacheField>
    <cacheField name="Купон" numFmtId="0">
      <sharedItems containsSemiMixedTypes="0" containsString="0" containsNumber="1" minValue="0" maxValue="10704.539299999999"/>
    </cacheField>
    <cacheField name="Доходность" numFmtId="10">
      <sharedItems containsSemiMixedTypes="0" containsString="0" containsNumber="1" minValue="0" maxValue="1"/>
    </cacheField>
    <cacheField name="Количество" numFmtId="0">
      <sharedItems containsSemiMixedTypes="0" containsString="0" containsNumber="1" containsInteger="1" minValue="0" maxValue="4517"/>
    </cacheField>
    <cacheField name="Срок погашения" numFmtId="0">
      <sharedItems containsMixedTypes="1" containsNumber="1" containsInteger="1" minValue="2024" maxValue="2041"/>
    </cacheField>
    <cacheField name="Купонов в год" numFmtId="0">
      <sharedItems containsMixedTypes="1" containsNumber="1" containsInteger="1" minValue="2" maxValue="12"/>
    </cacheField>
    <cacheField name="Затраты на покупку" numFmtId="0">
      <sharedItems containsSemiMixedTypes="0" containsString="0" containsNumber="1" minValue="0" maxValue="131955"/>
    </cacheField>
    <cacheField name="Январь" numFmtId="0">
      <sharedItems containsString="0" containsBlank="1" containsNumber="1" containsInteger="1" minValue="1" maxValue="1"/>
    </cacheField>
    <cacheField name="Январь2" numFmtId="0">
      <sharedItems containsSemiMixedTypes="0" containsString="0" containsNumber="1" minValue="0" maxValue="1264"/>
    </cacheField>
    <cacheField name="Февраль" numFmtId="0">
      <sharedItems containsString="0" containsBlank="1" containsNumber="1" containsInteger="1" minValue="1" maxValue="1"/>
    </cacheField>
    <cacheField name="Февраль2" numFmtId="0">
      <sharedItems containsSemiMixedTypes="0" containsString="0" containsNumber="1" minValue="0" maxValue="1556"/>
    </cacheField>
    <cacheField name="Март" numFmtId="0">
      <sharedItems containsString="0" containsBlank="1" containsNumber="1" containsInteger="1" minValue="1" maxValue="1"/>
    </cacheField>
    <cacheField name="Март2" numFmtId="0">
      <sharedItems containsSemiMixedTypes="0" containsString="0" containsNumber="1" minValue="0" maxValue="1612.31"/>
    </cacheField>
    <cacheField name="Апрель" numFmtId="0">
      <sharedItems containsString="0" containsBlank="1" containsNumber="1" containsInteger="1" minValue="1" maxValue="1"/>
    </cacheField>
    <cacheField name="Апрель2" numFmtId="0">
      <sharedItems containsSemiMixedTypes="0" containsString="0" containsNumber="1" minValue="0" maxValue="10704.539299999999"/>
    </cacheField>
    <cacheField name="Май" numFmtId="0">
      <sharedItems containsString="0" containsBlank="1" containsNumber="1" containsInteger="1" minValue="1" maxValue="1"/>
    </cacheField>
    <cacheField name="Май2" numFmtId="0">
      <sharedItems containsSemiMixedTypes="0" containsString="0" containsNumber="1" minValue="0" maxValue="1839"/>
    </cacheField>
    <cacheField name="Июнь" numFmtId="0">
      <sharedItems containsString="0" containsBlank="1" containsNumber="1" containsInteger="1" minValue="1" maxValue="1"/>
    </cacheField>
    <cacheField name="Июнь2" numFmtId="0">
      <sharedItems containsSemiMixedTypes="0" containsString="0" containsNumber="1" minValue="0" maxValue="1684"/>
    </cacheField>
    <cacheField name="Июль" numFmtId="0">
      <sharedItems containsString="0" containsBlank="1" containsNumber="1" containsInteger="1" minValue="1" maxValue="1"/>
    </cacheField>
    <cacheField name="Июль2" numFmtId="0">
      <sharedItems containsSemiMixedTypes="0" containsString="0" containsNumber="1" minValue="0" maxValue="1529"/>
    </cacheField>
    <cacheField name="Август" numFmtId="0">
      <sharedItems containsString="0" containsBlank="1" containsNumber="1" containsInteger="1" minValue="1" maxValue="1"/>
    </cacheField>
    <cacheField name="Август2" numFmtId="0">
      <sharedItems containsSemiMixedTypes="0" containsString="0" containsNumber="1" minValue="0" maxValue="1529"/>
    </cacheField>
    <cacheField name="Сентябрь" numFmtId="0">
      <sharedItems containsString="0" containsBlank="1" containsNumber="1" containsInteger="1" minValue="1" maxValue="1"/>
    </cacheField>
    <cacheField name="Сентябрь2" numFmtId="0">
      <sharedItems containsSemiMixedTypes="0" containsString="0" containsNumber="1" minValue="0" maxValue="1529"/>
    </cacheField>
    <cacheField name="Октябрь" numFmtId="0">
      <sharedItems containsString="0" containsBlank="1" containsNumber="1" containsInteger="1" minValue="1" maxValue="1"/>
    </cacheField>
    <cacheField name="Октябрь2" numFmtId="0">
      <sharedItems containsSemiMixedTypes="0" containsString="0" containsNumber="1" minValue="0" maxValue="1529"/>
    </cacheField>
    <cacheField name="Ноябрь" numFmtId="0">
      <sharedItems containsString="0" containsBlank="1" containsNumber="1" containsInteger="1" minValue="1" maxValue="1"/>
    </cacheField>
    <cacheField name="Ноябрь2" numFmtId="0">
      <sharedItems containsSemiMixedTypes="0" containsString="0" containsNumber="1" minValue="0" maxValue="1529"/>
    </cacheField>
    <cacheField name="Декабрь" numFmtId="0">
      <sharedItems containsString="0" containsBlank="1" containsNumber="1" containsInteger="1" minValue="1" maxValue="1"/>
    </cacheField>
    <cacheField name="Декабрь2" numFmtId="0">
      <sharedItems containsSemiMixedTypes="0" containsString="0" containsNumber="1" minValue="0" maxValue="1529"/>
    </cacheField>
    <cacheField name="Сумма" numFmtId="0">
      <sharedItems containsSemiMixedTypes="0" containsString="0" containsNumber="1" minValue="0" maxValue="18895.30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ОФЗ 26238"/>
    <s v="SU26238RMFS4"/>
    <x v="0"/>
    <n v="553.25"/>
    <n v="35.4"/>
    <n v="6.3985539990962487E-2"/>
    <n v="25"/>
    <n v="2041"/>
    <n v="2"/>
    <n v="13831.25"/>
    <m/>
    <n v="0"/>
    <m/>
    <n v="0"/>
    <m/>
    <n v="0"/>
    <m/>
    <n v="0"/>
    <m/>
    <n v="0"/>
    <n v="1"/>
    <n v="885"/>
    <m/>
    <n v="0"/>
    <m/>
    <n v="0"/>
    <m/>
    <n v="0"/>
    <m/>
    <n v="0"/>
    <m/>
    <n v="0"/>
    <n v="1"/>
    <n v="885"/>
    <n v="1770"/>
  </r>
  <r>
    <s v="ОФЗ 26233"/>
    <s v="SU26233RMFS5"/>
    <x v="0"/>
    <n v="566"/>
    <n v="30.42"/>
    <n v="5.3745583038869262E-2"/>
    <n v="30"/>
    <n v="2035"/>
    <n v="2"/>
    <n v="16980"/>
    <n v="1"/>
    <n v="912.6"/>
    <m/>
    <n v="0"/>
    <m/>
    <n v="0"/>
    <m/>
    <n v="0"/>
    <m/>
    <n v="0"/>
    <m/>
    <n v="0"/>
    <n v="1"/>
    <n v="912.6"/>
    <m/>
    <n v="0"/>
    <m/>
    <n v="0"/>
    <m/>
    <n v="0"/>
    <m/>
    <n v="0"/>
    <m/>
    <n v="0"/>
    <n v="1825.2"/>
  </r>
  <r>
    <s v="ОФЗ 26240"/>
    <s v="SU26240RMFS0"/>
    <x v="0"/>
    <n v="593"/>
    <n v="34.9"/>
    <n v="5.8853288364249579E-2"/>
    <n v="26"/>
    <n v="2033"/>
    <n v="2"/>
    <n v="15418"/>
    <m/>
    <n v="0"/>
    <n v="1"/>
    <n v="907.4"/>
    <m/>
    <n v="0"/>
    <m/>
    <n v="0"/>
    <m/>
    <n v="0"/>
    <m/>
    <n v="0"/>
    <m/>
    <n v="0"/>
    <n v="1"/>
    <n v="907.4"/>
    <m/>
    <n v="0"/>
    <m/>
    <n v="0"/>
    <m/>
    <n v="0"/>
    <m/>
    <n v="0"/>
    <n v="1814.8"/>
  </r>
  <r>
    <s v="ОФЗ 26218"/>
    <s v="SU26218RMFS6"/>
    <x v="0"/>
    <n v="702"/>
    <n v="42.38"/>
    <n v="6.0370370370370373E-2"/>
    <n v="11"/>
    <n v="2029"/>
    <n v="2"/>
    <n v="7722"/>
    <m/>
    <n v="0"/>
    <m/>
    <n v="0"/>
    <n v="1"/>
    <n v="466.18"/>
    <m/>
    <n v="0"/>
    <m/>
    <n v="0"/>
    <m/>
    <n v="0"/>
    <m/>
    <n v="0"/>
    <m/>
    <n v="0"/>
    <n v="1"/>
    <n v="466.18"/>
    <m/>
    <n v="0"/>
    <m/>
    <n v="0"/>
    <m/>
    <n v="0"/>
    <n v="932.36"/>
  </r>
  <r>
    <s v="ОФЗ 26230"/>
    <s v="SU26230RMFS1"/>
    <x v="0"/>
    <n v="576.89"/>
    <n v="38.39"/>
    <n v="6.6546481998301238E-2"/>
    <n v="22"/>
    <n v="2031"/>
    <n v="2"/>
    <n v="12691.58"/>
    <m/>
    <n v="0"/>
    <m/>
    <n v="0"/>
    <m/>
    <n v="0"/>
    <n v="1"/>
    <n v="844.58"/>
    <m/>
    <n v="0"/>
    <m/>
    <n v="0"/>
    <m/>
    <n v="0"/>
    <m/>
    <n v="0"/>
    <m/>
    <n v="0"/>
    <n v="1"/>
    <n v="844.58"/>
    <m/>
    <n v="0"/>
    <m/>
    <n v="0"/>
    <n v="1689.16"/>
  </r>
  <r>
    <s v="ОФЗ 26225"/>
    <s v="SU26225RMFS1"/>
    <x v="0"/>
    <n v="604"/>
    <n v="36.15"/>
    <n v="5.9850993377483439E-2"/>
    <n v="20"/>
    <n v="2027"/>
    <n v="2"/>
    <n v="12080"/>
    <m/>
    <n v="0"/>
    <m/>
    <n v="0"/>
    <m/>
    <n v="0"/>
    <m/>
    <n v="0"/>
    <n v="1"/>
    <n v="723"/>
    <m/>
    <n v="0"/>
    <m/>
    <n v="0"/>
    <m/>
    <n v="0"/>
    <m/>
    <n v="0"/>
    <m/>
    <n v="0"/>
    <n v="1"/>
    <n v="723"/>
    <m/>
    <n v="0"/>
    <n v="1446"/>
  </r>
  <r>
    <s v="whoosh выпуск 2"/>
    <s v="RU000A106HB4"/>
    <x v="1"/>
    <n v="864.88"/>
    <n v="29.42"/>
    <n v="3.4016279715104986E-2"/>
    <n v="1"/>
    <n v="2026"/>
    <n v="2"/>
    <n v="864.88"/>
    <n v="1"/>
    <n v="29.42"/>
    <m/>
    <n v="0"/>
    <m/>
    <n v="0"/>
    <n v="1"/>
    <n v="29.42"/>
    <m/>
    <n v="0"/>
    <m/>
    <n v="0"/>
    <m/>
    <n v="0"/>
    <m/>
    <n v="0"/>
    <m/>
    <n v="0"/>
    <n v="1"/>
    <n v="29.42"/>
    <m/>
    <n v="0"/>
    <m/>
    <n v="0"/>
    <n v="88.26"/>
  </r>
  <r>
    <s v="ГК Самолет Выпуск 11"/>
    <s v="RU000A104JQ3"/>
    <x v="1"/>
    <n v="1012.32"/>
    <n v="63.33"/>
    <n v="6.2559269796111899E-2"/>
    <n v="1"/>
    <n v="2025"/>
    <n v="4"/>
    <n v="1012.32"/>
    <m/>
    <n v="0"/>
    <n v="1"/>
    <n v="63.33"/>
    <m/>
    <n v="0"/>
    <m/>
    <n v="0"/>
    <m/>
    <n v="0"/>
    <m/>
    <n v="0"/>
    <m/>
    <n v="0"/>
    <n v="1"/>
    <n v="63.33"/>
    <m/>
    <n v="0"/>
    <m/>
    <n v="0"/>
    <m/>
    <n v="0"/>
    <m/>
    <n v="0"/>
    <n v="126.66"/>
  </r>
  <r>
    <s v="Делимобиль 1Р-02"/>
    <s v="RU000A106A86"/>
    <x v="1"/>
    <n v="833.6"/>
    <n v="31.66"/>
    <n v="3.7979846449136274E-2"/>
    <n v="2"/>
    <n v="2026"/>
    <n v="4"/>
    <n v="1667.2"/>
    <m/>
    <n v="0"/>
    <n v="1"/>
    <n v="63.32"/>
    <m/>
    <n v="0"/>
    <m/>
    <n v="0"/>
    <n v="1"/>
    <n v="63.32"/>
    <m/>
    <n v="0"/>
    <m/>
    <n v="0"/>
    <n v="1"/>
    <n v="63.32"/>
    <m/>
    <n v="0"/>
    <m/>
    <n v="0"/>
    <n v="1"/>
    <n v="63.32"/>
    <m/>
    <n v="0"/>
    <n v="253.28"/>
  </r>
  <r>
    <s v="Камаз БО-П11"/>
    <s v="RU000A107MM9"/>
    <x v="1"/>
    <n v="965.42"/>
    <n v="36.15"/>
    <n v="3.7444842659153529E-2"/>
    <n v="1"/>
    <n v="2026"/>
    <n v="4"/>
    <n v="965.42"/>
    <n v="1"/>
    <n v="36.15"/>
    <m/>
    <n v="0"/>
    <m/>
    <n v="0"/>
    <n v="1"/>
    <n v="36.15"/>
    <m/>
    <n v="0"/>
    <m/>
    <n v="0"/>
    <n v="1"/>
    <n v="36.15"/>
    <m/>
    <n v="0"/>
    <m/>
    <n v="0"/>
    <n v="1"/>
    <n v="36.15"/>
    <m/>
    <n v="0"/>
    <m/>
    <n v="0"/>
    <n v="144.6"/>
  </r>
  <r>
    <s v="ЛСР выпуск 6"/>
    <s v="RU000A102T63"/>
    <x v="1"/>
    <n v="708"/>
    <n v="15.96"/>
    <n v="2.2542372881355934E-2"/>
    <n v="5"/>
    <n v="2025"/>
    <n v="4"/>
    <n v="3540"/>
    <m/>
    <n v="0"/>
    <n v="1"/>
    <n v="79.800000000000011"/>
    <m/>
    <n v="0"/>
    <m/>
    <n v="0"/>
    <n v="1"/>
    <n v="79.800000000000011"/>
    <m/>
    <n v="0"/>
    <m/>
    <n v="0"/>
    <n v="1"/>
    <n v="79.800000000000011"/>
    <m/>
    <n v="0"/>
    <m/>
    <n v="0"/>
    <n v="1"/>
    <n v="79.800000000000011"/>
    <m/>
    <n v="0"/>
    <n v="319.20000000000005"/>
  </r>
  <r>
    <s v="ЛСР выпуск 7"/>
    <s v="RU000A103PX8"/>
    <x v="1"/>
    <n v="637"/>
    <n v="17.25"/>
    <n v="2.7080062794348509E-2"/>
    <n v="1"/>
    <n v="2024"/>
    <n v="4"/>
    <n v="637"/>
    <m/>
    <n v="0"/>
    <m/>
    <n v="0"/>
    <n v="1"/>
    <n v="17.25"/>
    <m/>
    <n v="0"/>
    <m/>
    <n v="0"/>
    <n v="1"/>
    <n v="17.25"/>
    <m/>
    <n v="0"/>
    <m/>
    <n v="0"/>
    <n v="1"/>
    <n v="17.25"/>
    <m/>
    <n v="0"/>
    <m/>
    <n v="0"/>
    <n v="1"/>
    <n v="17.25"/>
    <n v="69"/>
  </r>
  <r>
    <s v="ОФЗ 26207"/>
    <s v="SU26207RMFS9"/>
    <x v="0"/>
    <n v="850"/>
    <n v="40.64"/>
    <n v="4.7811764705882352E-2"/>
    <n v="6"/>
    <n v="2028"/>
    <n v="2"/>
    <n v="5100"/>
    <m/>
    <n v="0"/>
    <n v="1"/>
    <n v="243.84"/>
    <m/>
    <n v="0"/>
    <m/>
    <n v="0"/>
    <m/>
    <n v="0"/>
    <m/>
    <n v="0"/>
    <m/>
    <n v="0"/>
    <n v="1"/>
    <n v="243.84"/>
    <m/>
    <n v="0"/>
    <m/>
    <n v="0"/>
    <m/>
    <n v="0"/>
    <m/>
    <n v="0"/>
    <n v="487.68"/>
  </r>
  <r>
    <s v="ОФЗ 26219"/>
    <s v="SU26219RMFS4"/>
    <x v="0"/>
    <n v="866.6"/>
    <n v="38.64"/>
    <n v="4.4588045234248787E-2"/>
    <n v="7"/>
    <n v="2030"/>
    <n v="2"/>
    <n v="6066.2"/>
    <m/>
    <n v="0"/>
    <m/>
    <n v="0"/>
    <n v="1"/>
    <n v="270.48"/>
    <m/>
    <n v="0"/>
    <m/>
    <n v="0"/>
    <m/>
    <n v="0"/>
    <m/>
    <n v="0"/>
    <m/>
    <n v="0"/>
    <n v="1"/>
    <n v="270.48"/>
    <m/>
    <n v="0"/>
    <m/>
    <n v="0"/>
    <m/>
    <n v="0"/>
    <n v="540.96"/>
  </r>
  <r>
    <s v="ОФЗ 26226"/>
    <s v="SU26226RMFS9"/>
    <x v="0"/>
    <n v="868"/>
    <n v="39.64"/>
    <n v="4.5668202764976962E-2"/>
    <n v="1"/>
    <n v="2035"/>
    <n v="2"/>
    <n v="868"/>
    <m/>
    <n v="0"/>
    <m/>
    <n v="0"/>
    <m/>
    <n v="0"/>
    <n v="1"/>
    <n v="39.64"/>
    <m/>
    <n v="0"/>
    <m/>
    <n v="0"/>
    <m/>
    <n v="0"/>
    <m/>
    <n v="0"/>
    <m/>
    <n v="0"/>
    <n v="1"/>
    <n v="39.64"/>
    <m/>
    <n v="0"/>
    <m/>
    <n v="0"/>
    <n v="79.28"/>
  </r>
  <r>
    <s v="ОФЗ 26229"/>
    <s v="SU26229RMFS3"/>
    <x v="0"/>
    <n v="921"/>
    <n v="35.65"/>
    <n v="3.8707926167209555E-2"/>
    <n v="8"/>
    <n v="2036"/>
    <n v="2"/>
    <n v="7368"/>
    <m/>
    <n v="0"/>
    <m/>
    <n v="0"/>
    <m/>
    <n v="0"/>
    <m/>
    <n v="0"/>
    <n v="1"/>
    <n v="285.2"/>
    <m/>
    <n v="0"/>
    <m/>
    <n v="0"/>
    <m/>
    <n v="0"/>
    <m/>
    <n v="0"/>
    <m/>
    <n v="0"/>
    <n v="1"/>
    <n v="285.2"/>
    <m/>
    <n v="0"/>
    <n v="570.4"/>
  </r>
  <r>
    <s v="ОФЗ 26232"/>
    <s v="SU26232RMFS7"/>
    <x v="0"/>
    <n v="767"/>
    <n v="29.92"/>
    <n v="3.9009126466753585E-2"/>
    <n v="2"/>
    <n v="2028"/>
    <n v="2"/>
    <n v="1534"/>
    <m/>
    <n v="0"/>
    <m/>
    <n v="0"/>
    <m/>
    <n v="0"/>
    <n v="1"/>
    <n v="59.84"/>
    <m/>
    <n v="0"/>
    <m/>
    <n v="0"/>
    <m/>
    <n v="0"/>
    <m/>
    <n v="0"/>
    <m/>
    <n v="0"/>
    <n v="1"/>
    <n v="59.84"/>
    <m/>
    <n v="0"/>
    <m/>
    <n v="0"/>
    <n v="119.68"/>
  </r>
  <r>
    <s v="ОФЗ 26243"/>
    <s v="SU26243RMFS4"/>
    <x v="0"/>
    <n v="685.67"/>
    <n v="48.87"/>
    <n v="7.127335307071915E-2"/>
    <n v="2"/>
    <n v="2028"/>
    <n v="2"/>
    <n v="1371.34"/>
    <m/>
    <n v="0"/>
    <m/>
    <n v="0"/>
    <m/>
    <n v="0"/>
    <m/>
    <n v="0"/>
    <m/>
    <n v="0"/>
    <n v="1"/>
    <n v="97.74"/>
    <m/>
    <n v="0"/>
    <m/>
    <n v="0"/>
    <m/>
    <n v="0"/>
    <m/>
    <n v="0"/>
    <m/>
    <n v="0"/>
    <n v="1"/>
    <n v="97.74"/>
    <n v="195.48"/>
  </r>
  <r>
    <s v="ОФЗ 29014"/>
    <s v="SU29014RMFS6"/>
    <x v="0"/>
    <n v="999.25"/>
    <n v="42.34"/>
    <n v="4.2371778834125601E-2"/>
    <n v="1"/>
    <n v="2034"/>
    <n v="2"/>
    <n v="999.25"/>
    <m/>
    <n v="0"/>
    <m/>
    <n v="0"/>
    <n v="1"/>
    <n v="42.34"/>
    <m/>
    <n v="0"/>
    <m/>
    <n v="0"/>
    <n v="1"/>
    <n v="42.34"/>
    <m/>
    <n v="0"/>
    <m/>
    <n v="0"/>
    <n v="1"/>
    <n v="42.34"/>
    <m/>
    <n v="0"/>
    <m/>
    <n v="0"/>
    <n v="1"/>
    <n v="42.34"/>
    <n v="169.36"/>
  </r>
  <r>
    <s v="ОФЗ 29016"/>
    <s v="SU29016RMFS1"/>
    <x v="0"/>
    <n v="996.96"/>
    <n v="42.4"/>
    <n v="4.252928903867758E-2"/>
    <n v="1"/>
    <n v="2035"/>
    <n v="2"/>
    <n v="996.96"/>
    <m/>
    <n v="0"/>
    <m/>
    <n v="0"/>
    <n v="1"/>
    <n v="42.4"/>
    <m/>
    <n v="0"/>
    <m/>
    <n v="0"/>
    <n v="1"/>
    <n v="42.4"/>
    <m/>
    <n v="0"/>
    <m/>
    <n v="0"/>
    <n v="1"/>
    <n v="42.4"/>
    <m/>
    <n v="0"/>
    <m/>
    <n v="0"/>
    <n v="1"/>
    <n v="42.4"/>
    <n v="169.6"/>
  </r>
  <r>
    <s v="ОФЗ 29022"/>
    <s v="SU29022RMFS9"/>
    <x v="0"/>
    <n v="966.1"/>
    <n v="39.450000000000003"/>
    <n v="4.0834282165407312E-2"/>
    <n v="8"/>
    <n v="2036"/>
    <n v="2"/>
    <n v="7728.8"/>
    <n v="1"/>
    <n v="315.60000000000002"/>
    <m/>
    <n v="0"/>
    <m/>
    <n v="0"/>
    <m/>
    <n v="0"/>
    <n v="1"/>
    <n v="315.60000000000002"/>
    <m/>
    <n v="0"/>
    <n v="1"/>
    <n v="315.60000000000002"/>
    <m/>
    <n v="0"/>
    <m/>
    <n v="0"/>
    <n v="1"/>
    <n v="315.60000000000002"/>
    <m/>
    <n v="0"/>
    <m/>
    <n v="0"/>
    <n v="1262.4000000000001"/>
  </r>
  <r>
    <s v="ОФЗ 29025"/>
    <s v="SU29025RMFS2"/>
    <x v="0"/>
    <n v="966.8"/>
    <n v="40.39"/>
    <n v="4.1776996276375676E-2"/>
    <n v="1"/>
    <n v="2036"/>
    <n v="2"/>
    <n v="966.8"/>
    <m/>
    <n v="0"/>
    <n v="1"/>
    <n v="40.39"/>
    <m/>
    <n v="0"/>
    <m/>
    <n v="0"/>
    <n v="1"/>
    <n v="40.39"/>
    <m/>
    <n v="0"/>
    <m/>
    <n v="0"/>
    <n v="1"/>
    <n v="40.39"/>
    <m/>
    <n v="0"/>
    <m/>
    <n v="0"/>
    <n v="1"/>
    <n v="40.39"/>
    <m/>
    <n v="0"/>
    <n v="161.56"/>
  </r>
  <r>
    <s v="РЖД БО 001Р-26R"/>
    <s v="RU000A106K43"/>
    <x v="1"/>
    <n v="1000"/>
    <n v="16.600000000000001"/>
    <n v="1.66E-2"/>
    <n v="1"/>
    <n v="2026"/>
    <n v="12"/>
    <n v="1000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"/>
    <n v="16.600000000000001"/>
    <n v="199.19999999999996"/>
  </r>
  <r>
    <s v="Тинькофф Ипотечный агент"/>
    <s v="RU000A103D37"/>
    <x v="1"/>
    <n v="99.94"/>
    <n v="2.0099999999999998"/>
    <n v="2.0112067240344204E-2"/>
    <n v="5"/>
    <n v="2026"/>
    <n v="4"/>
    <n v="499.7"/>
    <m/>
    <n v="0"/>
    <m/>
    <n v="0"/>
    <n v="1"/>
    <n v="10.049999999999999"/>
    <m/>
    <n v="0"/>
    <m/>
    <n v="0"/>
    <n v="1"/>
    <n v="10.049999999999999"/>
    <m/>
    <n v="0"/>
    <m/>
    <n v="0"/>
    <n v="1"/>
    <n v="10.049999999999999"/>
    <m/>
    <n v="0"/>
    <m/>
    <n v="0"/>
    <n v="1"/>
    <n v="10.049999999999999"/>
    <n v="40.199999999999996"/>
  </r>
  <r>
    <s v="ФОСАГРО БО -П01"/>
    <s v="RU000A106516"/>
    <x v="1"/>
    <n v="882"/>
    <n v="46.87"/>
    <n v="5.3140589569160998E-2"/>
    <n v="1"/>
    <n v="2028"/>
    <n v="4"/>
    <n v="882"/>
    <m/>
    <n v="0"/>
    <m/>
    <n v="0"/>
    <m/>
    <n v="0"/>
    <n v="1"/>
    <n v="46.87"/>
    <m/>
    <n v="0"/>
    <m/>
    <n v="0"/>
    <m/>
    <n v="0"/>
    <m/>
    <n v="0"/>
    <m/>
    <n v="0"/>
    <n v="1"/>
    <n v="46.87"/>
    <m/>
    <n v="0"/>
    <m/>
    <n v="0"/>
    <n v="93.74"/>
  </r>
  <r>
    <s v="ВИМ-Ликвидность"/>
    <s v="LQDT"/>
    <x v="2"/>
    <n v="1.5743"/>
    <n v="2.6238333333333336E-2"/>
    <n v="1.6666666666666666E-2"/>
    <n v="4517"/>
    <e v="#N/A"/>
    <e v="#N/A"/>
    <n v="7111.1131000000005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"/>
    <n v="118.51855166666668"/>
    <n v="1422.2226200000005"/>
  </r>
  <r>
    <s v="Пассивный доход"/>
    <s v="TRAY"/>
    <x v="2"/>
    <n v="101.25"/>
    <n v="1.79"/>
    <n v="1.7679012345679014E-2"/>
    <n v="11"/>
    <e v="#N/A"/>
    <e v="#N/A"/>
    <n v="1113.75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1"/>
    <n v="19.690000000000001"/>
    <n v="236.28"/>
  </r>
  <r>
    <s v="Тинькофф Imoex"/>
    <s v="TMOS"/>
    <x v="2"/>
    <n v="5.95"/>
    <n v="0"/>
    <n v="0"/>
    <n v="793"/>
    <e v="#N/A"/>
    <e v="#N/A"/>
    <n v="4718.3500000000004"/>
    <m/>
    <n v="0"/>
    <m/>
    <n v="0"/>
    <m/>
    <n v="0"/>
    <m/>
    <n v="0"/>
    <m/>
    <n v="0"/>
    <m/>
    <n v="0"/>
    <m/>
    <n v="0"/>
    <m/>
    <n v="0"/>
    <m/>
    <n v="0"/>
    <m/>
    <n v="0"/>
    <m/>
    <n v="0"/>
    <m/>
    <n v="0"/>
    <n v="0"/>
  </r>
  <r>
    <s v="Денежный рынок"/>
    <s v="TMON"/>
    <x v="2"/>
    <n v="119.74"/>
    <n v="0"/>
    <n v="0"/>
    <n v="0"/>
    <e v="#N/A"/>
    <e v="#N/A"/>
    <n v="0"/>
    <m/>
    <n v="0"/>
    <m/>
    <n v="0"/>
    <m/>
    <n v="0"/>
    <m/>
    <n v="0"/>
    <m/>
    <n v="0"/>
    <m/>
    <n v="0"/>
    <m/>
    <n v="0"/>
    <m/>
    <n v="0"/>
    <m/>
    <n v="0"/>
    <m/>
    <n v="0"/>
    <m/>
    <n v="0"/>
    <m/>
    <n v="0"/>
    <n v="0"/>
  </r>
  <r>
    <s v="Вклад тинькофф"/>
    <s v="Вклад"/>
    <x v="3"/>
    <n v="131955"/>
    <n v="1494"/>
    <n v="1.1322041605092646E-2"/>
    <n v="1"/>
    <e v="#N/A"/>
    <e v="#N/A"/>
    <n v="131955"/>
    <n v="1"/>
    <n v="1264"/>
    <n v="1"/>
    <n v="1556"/>
    <n v="1"/>
    <n v="1612.31"/>
    <n v="1"/>
    <n v="1766"/>
    <n v="1"/>
    <n v="1839"/>
    <n v="1"/>
    <n v="1684"/>
    <n v="1"/>
    <n v="1529"/>
    <n v="1"/>
    <n v="1529"/>
    <n v="1"/>
    <n v="1529"/>
    <n v="1"/>
    <n v="1529"/>
    <n v="1"/>
    <n v="1529"/>
    <n v="1"/>
    <n v="1529"/>
    <n v="18895.309999999998"/>
  </r>
  <r>
    <s v="Крутилка кредитки"/>
    <s v="Вклад"/>
    <x v="3"/>
    <n v="35523.65"/>
    <n v="473.64866666666671"/>
    <n v="1.3333333333333334E-2"/>
    <n v="1"/>
    <e v="#N/A"/>
    <e v="#N/A"/>
    <n v="35523.65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1"/>
    <n v="473.64866666666671"/>
    <n v="5683.7840000000024"/>
  </r>
  <r>
    <s v="Ипотека"/>
    <s v="Вклад"/>
    <x v="3"/>
    <n v="21000"/>
    <n v="280"/>
    <n v="1.3333333333333334E-2"/>
    <n v="1"/>
    <e v="#N/A"/>
    <e v="#N/A"/>
    <n v="21000"/>
    <n v="1"/>
    <n v="280"/>
    <n v="1"/>
    <n v="280"/>
    <n v="1"/>
    <n v="280"/>
    <n v="1"/>
    <n v="280"/>
    <n v="1"/>
    <n v="280"/>
    <n v="1"/>
    <n v="280"/>
    <n v="1"/>
    <n v="280"/>
    <n v="1"/>
    <n v="280"/>
    <n v="1"/>
    <n v="280"/>
    <n v="1"/>
    <n v="280"/>
    <n v="1"/>
    <n v="280"/>
    <n v="1"/>
    <n v="280"/>
    <n v="3360"/>
  </r>
  <r>
    <s v="Отпуск"/>
    <s v="Вклад"/>
    <x v="3"/>
    <n v="6800"/>
    <n v="90.666666666666671"/>
    <n v="1.3333333333333334E-2"/>
    <n v="1"/>
    <e v="#N/A"/>
    <e v="#N/A"/>
    <n v="6800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"/>
    <n v="90.666666666666671"/>
    <n v="1087.9999999999998"/>
  </r>
  <r>
    <s v="Возврат по ИИС"/>
    <s v="Налог"/>
    <x v="4"/>
    <n v="10704.539299999999"/>
    <n v="10704.539299999999"/>
    <n v="1"/>
    <n v="1"/>
    <e v="#N/A"/>
    <e v="#N/A"/>
    <n v="10704.539299999999"/>
    <m/>
    <n v="0"/>
    <m/>
    <n v="0"/>
    <m/>
    <n v="0"/>
    <n v="1"/>
    <n v="10704.539299999999"/>
    <m/>
    <n v="0"/>
    <m/>
    <n v="0"/>
    <m/>
    <n v="0"/>
    <m/>
    <n v="0"/>
    <m/>
    <n v="0"/>
    <m/>
    <n v="0"/>
    <m/>
    <n v="0"/>
    <m/>
    <n v="0"/>
    <n v="10704.5392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21F297-44B9-4932-BEF0-6B9567955FC5}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E1:P2" firstHeaderRow="0" firstDataRow="1" firstDataCol="0"/>
  <pivotFields count="35"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Январь купон" fld="11" baseField="0" baseItem="0"/>
    <dataField name="Февраль купон" fld="13" baseField="0" baseItem="0"/>
    <dataField name="Март купон" fld="15" baseField="0" baseItem="0"/>
    <dataField name="Апрель купон" fld="17" baseField="0" baseItem="0"/>
    <dataField name="Май купон" fld="19" baseField="0" baseItem="0"/>
    <dataField name="Июнь купон" fld="21" baseField="0" baseItem="0"/>
    <dataField name="Июль купон" fld="23" baseField="0" baseItem="0"/>
    <dataField name="Август купон" fld="25" baseField="0" baseItem="0"/>
    <dataField name="Сентябрь купон" fld="27" baseField="0" baseItem="0"/>
    <dataField name="Октябрь купон" fld="29" baseField="0" baseItem="0"/>
    <dataField name="Ноябрь купон" fld="31" baseField="0" baseItem="0"/>
    <dataField name="Декабрь купон" fld="33" baseField="0" baseItem="0"/>
  </dataFields>
  <formats count="21"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1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9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8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7">
      <pivotArea outline="0" collapsedLevelsAreSubtotals="1" fieldPosition="0"/>
    </format>
    <format dxfId="76">
      <pivotArea outline="0" collapsedLevelsAreSubtotals="1" fieldPosition="0"/>
    </format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3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72">
      <pivotArea dataOnly="0" labelOnly="1" outline="0" fieldPosition="0">
        <references count="1">
          <reference field="4294967294" count="1">
            <x v="1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7BA5AA-8578-4701-B621-186DD3C12576}" name="Сводная таблица8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A1:B7" firstHeaderRow="1" firstDataRow="1" firstDataCol="1"/>
  <pivotFields count="35"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numFmtId="10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Сумма по полю Затраты на покупку" fld="9" baseField="0" baseItem="0"/>
  </dataField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EC65-07DD-4F3D-961E-2ABF7DE582EB}" name="Таблица1" displayName="Таблица1" ref="A1:AI34" totalsRowCount="1" headerRowDxfId="71" dataDxfId="70">
  <autoFilter ref="A1:AI33" xr:uid="{D7555CE1-3462-4CF4-88F3-E36925AA63AE}"/>
  <tableColumns count="35">
    <tableColumn id="1" xr3:uid="{3E044A29-0D4C-4896-8F16-4E84540A8027}" name="Название" totalsRowLabel="Итог" dataDxfId="69" totalsRowDxfId="68"/>
    <tableColumn id="3" xr3:uid="{CB2EC1AA-8335-4334-B779-A114DDBB13EC}" name="Идентификатор" dataDxfId="67" totalsRowDxfId="66"/>
    <tableColumn id="23" xr3:uid="{7848700D-B882-4B4F-A01D-30D0302AF957}" name="Тип" dataDxfId="65" totalsRowDxfId="64"/>
    <tableColumn id="4" xr3:uid="{6B0061F4-CD7C-4D07-B141-9481A1DD7C0C}" name="Цена" dataDxfId="63" totalsRowDxfId="62"/>
    <tableColumn id="5" xr3:uid="{9639E2D6-87D4-485C-91BB-E3AB5F8A29DD}" name="Купон" dataDxfId="61" totalsRowDxfId="60"/>
    <tableColumn id="6" xr3:uid="{8BBDA2B1-01D1-4ABB-A34B-33C11D485C40}" name="Доходность" totalsRowFunction="average" dataDxfId="59" totalsRowDxfId="58" dataCellStyle="Процентный">
      <calculatedColumnFormula>E2/D2</calculatedColumnFormula>
    </tableColumn>
    <tableColumn id="7" xr3:uid="{DE1A73D8-31D5-44FD-A853-5C33CBA47E5B}" name="Количество" dataDxfId="57" totalsRowDxfId="56"/>
    <tableColumn id="22" xr3:uid="{6BBE66C4-61EF-48D0-8473-5A97789ECFF4}" name="Срок погашения" dataDxfId="55" totalsRowDxfId="54">
      <calculatedColumnFormula>VLOOKUP(Таблица1[[#This Row],[Идентификатор]],Купоны[],2,0)</calculatedColumnFormula>
    </tableColumn>
    <tableColumn id="2" xr3:uid="{DEE671FE-BCC3-44D6-B702-62913BCB46CD}" name="Купонов в год" dataDxfId="53" totalsRowDxfId="52">
      <calculatedColumnFormula>VLOOKUP(Таблица1[[#This Row],[Идентификатор]],Купоны[],3,0)</calculatedColumnFormula>
    </tableColumn>
    <tableColumn id="8" xr3:uid="{22437032-7E46-4FA1-8686-49AA5773F631}" name="Затраты на покупку" totalsRowFunction="sum" dataDxfId="51" totalsRowDxfId="50">
      <calculatedColumnFormula>D2*G2</calculatedColumnFormula>
    </tableColumn>
    <tableColumn id="9" xr3:uid="{26966653-0976-4E11-A515-A40CABB57CFB}" name="Январь" dataDxfId="49" totalsRowDxfId="48"/>
    <tableColumn id="24" xr3:uid="{ABFE9B1B-F6C2-4CDD-AD62-DAD6FE265420}" name="Январь2" totalsRowFunction="sum" dataDxfId="47" totalsRowDxfId="46"/>
    <tableColumn id="10" xr3:uid="{9A83BF3E-1951-4ECC-9352-64F53787864D}" name="Февраль" dataDxfId="45" totalsRowDxfId="44"/>
    <tableColumn id="25" xr3:uid="{0D558D7B-ACFF-4A38-AB9F-F766F67146DA}" name="Февраль2" totalsRowFunction="sum" dataDxfId="43" totalsRowDxfId="42">
      <calculatedColumnFormula>Таблица1[[#This Row],[Купон]]*Таблица1[[#This Row],[Февраль]]*Таблица1[[#This Row],[Количество]]</calculatedColumnFormula>
    </tableColumn>
    <tableColumn id="11" xr3:uid="{D98EF7F7-66FD-4DD4-861B-20859E8358A3}" name="Март" dataDxfId="41" totalsRowDxfId="40"/>
    <tableColumn id="26" xr3:uid="{0CD1F589-52EC-498E-AD81-6B4250D97C0C}" name="Март2" totalsRowFunction="sum" dataDxfId="39" totalsRowDxfId="38">
      <calculatedColumnFormula>Таблица1[[#This Row],[Купон]]*Таблица1[[#This Row],[Март]]*Таблица1[[#This Row],[Количество]]</calculatedColumnFormula>
    </tableColumn>
    <tableColumn id="12" xr3:uid="{177E49E6-2386-4905-B4EE-627412C6C394}" name="Апрель" dataDxfId="37" totalsRowDxfId="36"/>
    <tableColumn id="27" xr3:uid="{9CF8D90C-3594-439B-8E96-10E6A70E9D9E}" name="Апрель2" totalsRowFunction="sum" dataDxfId="35" totalsRowDxfId="34">
      <calculatedColumnFormula>Таблица1[[#This Row],[Купон]]*Таблица1[[#This Row],[Апрель]]*Таблица1[[#This Row],[Количество]]</calculatedColumnFormula>
    </tableColumn>
    <tableColumn id="13" xr3:uid="{C047C482-CB22-4A05-8E0C-57EA8043B388}" name="Май" dataDxfId="33" totalsRowDxfId="32"/>
    <tableColumn id="28" xr3:uid="{42A2B7CE-59AD-49ED-BDAD-B146A6578E1F}" name="Май2" totalsRowFunction="sum" dataDxfId="31" totalsRowDxfId="30">
      <calculatedColumnFormula>Таблица1[[#This Row],[Купон]]*Таблица1[[#This Row],[Май]]*Таблица1[[#This Row],[Количество]]</calculatedColumnFormula>
    </tableColumn>
    <tableColumn id="14" xr3:uid="{6EC9C74A-0557-4F7D-8CCF-DE329C088B70}" name="Июнь" dataDxfId="29" totalsRowDxfId="28"/>
    <tableColumn id="29" xr3:uid="{510B0940-E6A6-4FE9-B710-342BF852F485}" name="Июнь2" totalsRowFunction="sum" dataDxfId="27" totalsRowDxfId="26">
      <calculatedColumnFormula>Таблица1[[#This Row],[Июнь]]*Таблица1[[#This Row],[Купон]]*Таблица1[[#This Row],[Количество]]</calculatedColumnFormula>
    </tableColumn>
    <tableColumn id="15" xr3:uid="{9350E61A-8711-42CA-9651-1DC7694A6A33}" name="Июль" dataDxfId="25" totalsRowDxfId="24"/>
    <tableColumn id="30" xr3:uid="{B9D800DB-9B29-409A-B791-AB34A9C40B39}" name="Июль2" totalsRowFunction="sum" dataDxfId="23" totalsRowDxfId="22">
      <calculatedColumnFormula>Таблица1[[#This Row],[Купон]]*Таблица1[[#This Row],[Июль]]*Таблица1[[#This Row],[Количество]]</calculatedColumnFormula>
    </tableColumn>
    <tableColumn id="16" xr3:uid="{9BCA1E00-F83F-4404-B3B8-FB246D420541}" name="Август" dataDxfId="21" totalsRowDxfId="20"/>
    <tableColumn id="31" xr3:uid="{5233CBCB-BBFB-4234-97F8-BF78B7529BDB}" name="Август2" totalsRowFunction="sum" dataDxfId="19" totalsRowDxfId="18">
      <calculatedColumnFormula>Таблица1[[#This Row],[Купон]]*Таблица1[[#This Row],[Август]]*Таблица1[[#This Row],[Количество]]</calculatedColumnFormula>
    </tableColumn>
    <tableColumn id="17" xr3:uid="{0B19F812-CEC3-4AF2-AD79-3F9229EE89CE}" name="Сентябрь" dataDxfId="17" totalsRowDxfId="16"/>
    <tableColumn id="32" xr3:uid="{DF75B440-7761-4CA6-9CBB-1F28C976D3BC}" name="Сентябрь2" totalsRowFunction="sum" dataDxfId="15" totalsRowDxfId="14">
      <calculatedColumnFormula>Таблица1[[#This Row],[Купон]]*Таблица1[[#This Row],[Сентябрь]]*Таблица1[[#This Row],[Количество]]</calculatedColumnFormula>
    </tableColumn>
    <tableColumn id="18" xr3:uid="{32D54C4E-753A-4485-BEB0-72FEC659E85C}" name="Октябрь" dataDxfId="13" totalsRowDxfId="12"/>
    <tableColumn id="33" xr3:uid="{03CEC2AB-EF50-49E4-B719-DB6E18F1D867}" name="Октябрь2" totalsRowFunction="sum" dataDxfId="11" totalsRowDxfId="10">
      <calculatedColumnFormula>Таблица1[[#This Row],[Купон]]*Таблица1[[#This Row],[Октябрь]]*Таблица1[[#This Row],[Количество]]</calculatedColumnFormula>
    </tableColumn>
    <tableColumn id="19" xr3:uid="{7F03D25D-113A-47AF-B9A9-21D9402DD9EB}" name="Ноябрь" dataDxfId="9" totalsRowDxfId="8"/>
    <tableColumn id="34" xr3:uid="{3E42D528-8997-4D59-B0DE-980B8B53994E}" name="Ноябрь2" totalsRowFunction="sum" dataDxfId="7" totalsRowDxfId="6">
      <calculatedColumnFormula>Таблица1[[#This Row],[Купон]]*Таблица1[[#This Row],[Ноябрь]]*Таблица1[[#This Row],[Количество]]</calculatedColumnFormula>
    </tableColumn>
    <tableColumn id="20" xr3:uid="{F182F7A4-4F8E-4D74-A4EB-662F72EA327E}" name="Декабрь" dataDxfId="5" totalsRowDxfId="4"/>
    <tableColumn id="35" xr3:uid="{4960174B-8EA2-4FC9-AA02-2A5C932DA09B}" name="Декабрь2" totalsRowFunction="sum" dataDxfId="3" totalsRowDxfId="2">
      <calculatedColumnFormula>Таблица1[[#This Row],[Купон]]*Таблица1[[#This Row],[Декабрь]]*Таблица1[[#This Row],[Количество]]</calculatedColumnFormula>
    </tableColumn>
    <tableColumn id="21" xr3:uid="{4C169389-B825-4C27-9079-3A7FA3E039A0}" name="Сумма" totalsRowFunction="sum" dataDxfId="1">
      <calculatedColumnFormula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FBAD9-87C9-44B0-8221-4B1A21E61BDF}" name="Операции" displayName="Операции" ref="A1:C8" totalsRowShown="0">
  <autoFilter ref="A1:C8" xr:uid="{367FBAD9-87C9-44B0-8221-4B1A21E61BDF}"/>
  <tableColumns count="3">
    <tableColumn id="1" xr3:uid="{CA293D35-343F-4A3A-A129-680A47EC42CD}" name="Дата" dataDxfId="0"/>
    <tableColumn id="2" xr3:uid="{949BED30-3FB6-4274-AF1F-1A876743D277}" name="Тип операции"/>
    <tableColumn id="3" xr3:uid="{2E0F31A8-BC9D-4039-B979-3D9C6944A6FC}" name="Сумма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B07F52-6F70-4901-AA9F-47EA40B61998}" name="Купоны" displayName="Купоны" ref="A1:C32" totalsRowShown="0">
  <autoFilter ref="A1:C32" xr:uid="{7741630B-F7B2-4EB7-B1EA-0EE85DDC3370}"/>
  <tableColumns count="3">
    <tableColumn id="1" xr3:uid="{7E3D2032-5151-44E1-B8AB-3E695A0E51C3}" name="Идентификатор"/>
    <tableColumn id="2" xr3:uid="{75C08178-A6B2-4E65-A1F3-EF270A5E58B4}" name="Срок погашения"/>
    <tableColumn id="3" xr3:uid="{21592648-87E8-4F15-8BCD-87C30BBFFFE0}" name="Купонов в го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BDA2-82FF-438F-B879-ABBED6F40D15}">
  <sheetPr codeName="Лист1"/>
  <dimension ref="A1:AM26"/>
  <sheetViews>
    <sheetView showGridLines="0" zoomScale="85" zoomScaleNormal="85" workbookViewId="0">
      <selection activeCell="D2" sqref="D2"/>
    </sheetView>
  </sheetViews>
  <sheetFormatPr defaultRowHeight="15" x14ac:dyDescent="0.25"/>
  <cols>
    <col min="1" max="4" width="30.7109375" customWidth="1"/>
    <col min="5" max="5" width="8.42578125" bestFit="1" customWidth="1"/>
    <col min="6" max="6" width="10.28515625" bestFit="1" customWidth="1"/>
    <col min="7" max="7" width="7.140625" style="15" bestFit="1" customWidth="1"/>
    <col min="8" max="8" width="8.42578125" style="15" bestFit="1" customWidth="1"/>
    <col min="9" max="11" width="7.140625" style="15" bestFit="1" customWidth="1"/>
    <col min="12" max="12" width="7.5703125" style="15" bestFit="1" customWidth="1"/>
    <col min="13" max="13" width="10.5703125" style="15" customWidth="1"/>
    <col min="14" max="14" width="9.42578125" style="15" bestFit="1" customWidth="1"/>
    <col min="15" max="15" width="8.42578125" style="15" bestFit="1" customWidth="1"/>
    <col min="16" max="16" width="9.7109375" style="15" customWidth="1"/>
    <col min="17" max="18" width="15.7109375" style="15" customWidth="1"/>
    <col min="19" max="19" width="14.28515625" bestFit="1" customWidth="1"/>
    <col min="34" max="34" width="14.28515625" bestFit="1" customWidth="1"/>
  </cols>
  <sheetData>
    <row r="1" spans="1:39" ht="36" x14ac:dyDescent="0.25">
      <c r="A1" s="13" t="s">
        <v>87</v>
      </c>
      <c r="B1" s="13" t="s">
        <v>92</v>
      </c>
      <c r="C1" s="13" t="s">
        <v>88</v>
      </c>
      <c r="D1" s="13" t="s">
        <v>91</v>
      </c>
      <c r="E1" s="33" t="s">
        <v>103</v>
      </c>
      <c r="F1" s="34" t="s">
        <v>104</v>
      </c>
      <c r="G1" s="34" t="s">
        <v>105</v>
      </c>
      <c r="H1" s="34" t="s">
        <v>106</v>
      </c>
      <c r="I1" s="34" t="s">
        <v>107</v>
      </c>
      <c r="J1" s="34" t="s">
        <v>108</v>
      </c>
      <c r="K1" s="34" t="s">
        <v>109</v>
      </c>
      <c r="L1" s="34" t="s">
        <v>110</v>
      </c>
      <c r="M1" s="34" t="s">
        <v>111</v>
      </c>
      <c r="N1" s="34" t="s">
        <v>112</v>
      </c>
      <c r="O1" s="34" t="s">
        <v>113</v>
      </c>
      <c r="P1" s="35" t="s">
        <v>114</v>
      </c>
    </row>
    <row r="2" spans="1:39" ht="30" x14ac:dyDescent="0.25">
      <c r="A2" s="17">
        <f>AVERAGE(Таблица1[[#Totals],[Январь2]:[Декабрь2]])</f>
        <v>7320.8530666666666</v>
      </c>
      <c r="B2" s="18">
        <f>Таблица1[[#Totals],[Затраты на покупку]]</f>
        <v>466782.5993</v>
      </c>
      <c r="C2" s="19">
        <f>Таблица1[[#Totals],[Сумма]]/Таблица1[[#Totals],[Затраты на покупку]]</f>
        <v>0.18820375252150071</v>
      </c>
      <c r="D2" s="20">
        <v>8000</v>
      </c>
      <c r="E2" s="30">
        <v>3556.893885</v>
      </c>
      <c r="F2" s="31">
        <v>3953.2038850000004</v>
      </c>
      <c r="G2" s="31">
        <v>3460.1338849999997</v>
      </c>
      <c r="H2" s="31">
        <v>14526.163184999999</v>
      </c>
      <c r="I2" s="31">
        <v>4345.4338850000004</v>
      </c>
      <c r="J2" s="31">
        <v>3777.9038850000002</v>
      </c>
      <c r="K2" s="31">
        <v>3792.4738849999999</v>
      </c>
      <c r="L2" s="31">
        <v>3926.2038850000004</v>
      </c>
      <c r="M2" s="31">
        <v>3376.8238850000002</v>
      </c>
      <c r="N2" s="31">
        <v>3900.2238849999999</v>
      </c>
      <c r="O2" s="31">
        <v>3719.8338850000005</v>
      </c>
      <c r="P2" s="32">
        <v>3622.9038850000002</v>
      </c>
    </row>
    <row r="3" spans="1:39" ht="41.25" customHeight="1" x14ac:dyDescent="0.25">
      <c r="A3" s="11"/>
      <c r="B3" s="11"/>
      <c r="C3" s="12"/>
      <c r="D3" s="11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AG3" s="1" t="s">
        <v>90</v>
      </c>
      <c r="AH3" s="1"/>
      <c r="AI3" s="1"/>
      <c r="AJ3" s="1"/>
      <c r="AK3" s="1"/>
      <c r="AL3" s="1"/>
    </row>
    <row r="4" spans="1:39" ht="15" customHeight="1" x14ac:dyDescent="0.25">
      <c r="A4" s="11"/>
      <c r="B4" s="11"/>
      <c r="C4" s="12"/>
      <c r="D4" s="11"/>
      <c r="E4" s="11"/>
      <c r="F4" s="11"/>
      <c r="AG4" s="10">
        <f>IF(AH4&lt;1,1-AH4,1)</f>
        <v>8.4893366666666692E-2</v>
      </c>
      <c r="AH4" s="14">
        <f>A2/D2</f>
        <v>0.91510663333333331</v>
      </c>
      <c r="AI4" s="8"/>
      <c r="AK4" s="9"/>
      <c r="AL4" s="9"/>
    </row>
    <row r="5" spans="1:39" ht="15" customHeight="1" x14ac:dyDescent="0.25">
      <c r="A5" s="11"/>
      <c r="B5" s="11"/>
      <c r="C5" s="12"/>
      <c r="D5" s="11"/>
      <c r="E5" s="11"/>
      <c r="F5" s="11"/>
      <c r="AG5" s="8"/>
      <c r="AH5" s="8"/>
      <c r="AI5" s="8"/>
      <c r="AJ5" s="9"/>
      <c r="AK5" s="9"/>
      <c r="AL5" s="9"/>
    </row>
    <row r="6" spans="1:39" ht="15" customHeight="1" x14ac:dyDescent="0.25">
      <c r="A6" s="11"/>
      <c r="B6" s="11"/>
      <c r="C6" s="12"/>
      <c r="D6" s="11"/>
      <c r="E6" s="11"/>
      <c r="AG6" s="8"/>
      <c r="AH6" s="8"/>
      <c r="AI6" s="8"/>
      <c r="AJ6" s="9"/>
      <c r="AK6" s="9"/>
      <c r="AL6" s="9"/>
    </row>
    <row r="7" spans="1:39" ht="15" customHeight="1" x14ac:dyDescent="0.25">
      <c r="A7" s="11"/>
      <c r="B7" s="11"/>
      <c r="C7" s="12"/>
      <c r="D7" s="11"/>
      <c r="E7" s="11"/>
      <c r="AG7" s="8"/>
      <c r="AH7" s="8"/>
      <c r="AI7" s="8"/>
      <c r="AJ7" s="9"/>
      <c r="AK7" s="9"/>
      <c r="AL7" s="9"/>
    </row>
    <row r="8" spans="1:39" ht="15" customHeight="1" x14ac:dyDescent="0.25">
      <c r="A8" s="11"/>
      <c r="B8" s="11"/>
      <c r="C8" s="12"/>
      <c r="D8" s="11"/>
      <c r="E8" s="11"/>
      <c r="AG8" s="16" t="s">
        <v>86</v>
      </c>
      <c r="AH8" s="2"/>
      <c r="AI8" s="2"/>
      <c r="AJ8" s="2"/>
      <c r="AK8" s="2"/>
      <c r="AL8" s="2"/>
      <c r="AM8" s="2"/>
    </row>
    <row r="9" spans="1:39" ht="15" customHeight="1" x14ac:dyDescent="0.25">
      <c r="A9" s="1"/>
      <c r="AG9" s="2">
        <v>26238</v>
      </c>
      <c r="AH9" s="2" t="s">
        <v>12</v>
      </c>
      <c r="AI9" s="2">
        <v>500</v>
      </c>
      <c r="AJ9" s="2">
        <v>35.4</v>
      </c>
      <c r="AK9" s="2">
        <v>7.0800000000000002E-2</v>
      </c>
      <c r="AL9" s="2">
        <v>850</v>
      </c>
      <c r="AM9" s="2">
        <v>425000</v>
      </c>
    </row>
    <row r="10" spans="1:39" ht="15" customHeight="1" x14ac:dyDescent="0.25">
      <c r="AG10" s="2">
        <v>26233</v>
      </c>
      <c r="AH10" s="2" t="s">
        <v>82</v>
      </c>
      <c r="AI10" s="2">
        <v>505.23</v>
      </c>
      <c r="AJ10" s="2">
        <v>30.42</v>
      </c>
      <c r="AK10" s="2">
        <v>6.0210201294459947E-2</v>
      </c>
      <c r="AL10" s="2">
        <v>1000</v>
      </c>
      <c r="AM10" s="2">
        <v>505230</v>
      </c>
    </row>
    <row r="11" spans="1:39" x14ac:dyDescent="0.25">
      <c r="AG11" s="2">
        <v>26240</v>
      </c>
      <c r="AH11" s="2" t="s">
        <v>83</v>
      </c>
      <c r="AI11" s="2">
        <v>527</v>
      </c>
      <c r="AJ11" s="2">
        <v>34.9</v>
      </c>
      <c r="AK11" s="2">
        <v>6.6223908918406071E-2</v>
      </c>
      <c r="AL11" s="2">
        <v>900</v>
      </c>
      <c r="AM11" s="2">
        <v>474300</v>
      </c>
    </row>
    <row r="12" spans="1:39" x14ac:dyDescent="0.25">
      <c r="AG12" s="2">
        <v>26218</v>
      </c>
      <c r="AH12" s="2" t="s">
        <v>53</v>
      </c>
      <c r="AI12" s="2">
        <v>667</v>
      </c>
      <c r="AJ12" s="2">
        <v>42.38</v>
      </c>
      <c r="AK12" s="2">
        <v>6.353823088455772E-2</v>
      </c>
      <c r="AL12" s="2">
        <v>750</v>
      </c>
      <c r="AM12" s="2">
        <v>500250</v>
      </c>
    </row>
    <row r="13" spans="1:39" x14ac:dyDescent="0.25">
      <c r="AG13" s="2">
        <v>26230</v>
      </c>
      <c r="AH13" s="2" t="s">
        <v>84</v>
      </c>
      <c r="AI13" s="2">
        <v>544.46</v>
      </c>
      <c r="AJ13" s="2">
        <v>38.39</v>
      </c>
      <c r="AK13" s="2">
        <v>7.0510230319950032E-2</v>
      </c>
      <c r="AL13" s="2">
        <v>800</v>
      </c>
      <c r="AM13" s="2">
        <v>435568</v>
      </c>
    </row>
    <row r="14" spans="1:39" x14ac:dyDescent="0.25">
      <c r="AG14" s="2">
        <v>26225</v>
      </c>
      <c r="AH14" s="2" t="s">
        <v>85</v>
      </c>
      <c r="AI14" s="2">
        <v>569.22</v>
      </c>
      <c r="AJ14" s="2">
        <v>36.15</v>
      </c>
      <c r="AK14" s="2">
        <v>6.3507958258669756E-2</v>
      </c>
      <c r="AL14" s="2">
        <v>850</v>
      </c>
      <c r="AM14" s="2">
        <v>483837</v>
      </c>
    </row>
    <row r="24" spans="1:4" ht="36" x14ac:dyDescent="0.25">
      <c r="A24" s="28" t="s">
        <v>100</v>
      </c>
      <c r="B24" s="28" t="s">
        <v>95</v>
      </c>
      <c r="C24" s="29" t="s">
        <v>96</v>
      </c>
      <c r="D24" s="28" t="s">
        <v>124</v>
      </c>
    </row>
    <row r="25" spans="1:4" ht="30" x14ac:dyDescent="0.25">
      <c r="A25" s="18">
        <f>$B$2 * (1 + $C$2/12)^(12 * 1)-B2</f>
        <v>95838.707375267637</v>
      </c>
      <c r="B25" s="17">
        <f>(D2-A2)/AVERAGE('Основная таблица'!E2:E7)*12</f>
        <v>224.67643447895608</v>
      </c>
      <c r="C25" s="17">
        <f>B25*AVERAGE('Основная таблица'!$D$2:$D$7)</f>
        <v>133700.45262973721</v>
      </c>
      <c r="D25" s="18">
        <f>1000000-917657.39</f>
        <v>82342.609999999986</v>
      </c>
    </row>
    <row r="26" spans="1:4" x14ac:dyDescent="0.25">
      <c r="A26" s="21"/>
    </row>
  </sheetData>
  <mergeCells count="1">
    <mergeCell ref="E3:P3"/>
  </mergeCells>
  <pageMargins left="0.7" right="0.7" top="0.75" bottom="0.75" header="0.3" footer="0.3"/>
  <pageSetup paperSize="9" orientation="portrait" verticalDpi="0" r:id="rId2"/>
  <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E05CCBD6-E6BD-483E-93B9-8464C51AE9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Дашборд!E2:P2</xm:f>
              <xm:sqref>E3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BD55-B2A0-4CD3-BC82-3C577273D921}">
  <sheetPr codeName="Лист2"/>
  <dimension ref="A1:AI39"/>
  <sheetViews>
    <sheetView tabSelected="1" topLeftCell="A9" zoomScale="85" zoomScaleNormal="85" workbookViewId="0">
      <selection activeCell="C25" sqref="C25"/>
    </sheetView>
  </sheetViews>
  <sheetFormatPr defaultRowHeight="15" x14ac:dyDescent="0.25"/>
  <cols>
    <col min="1" max="1" width="26.7109375" style="2" bestFit="1" customWidth="1"/>
    <col min="2" max="2" width="20.85546875" style="2" customWidth="1"/>
    <col min="3" max="3" width="10.140625" style="2" customWidth="1"/>
    <col min="4" max="4" width="12.42578125" style="2" customWidth="1"/>
    <col min="5" max="5" width="13.42578125" style="2" customWidth="1"/>
    <col min="6" max="7" width="21" style="2" bestFit="1" customWidth="1"/>
    <col min="8" max="8" width="26.42578125" style="2" bestFit="1" customWidth="1"/>
    <col min="9" max="9" width="23.7109375" style="2" bestFit="1" customWidth="1"/>
    <col min="10" max="10" width="29.7109375" style="2" bestFit="1" customWidth="1"/>
    <col min="11" max="11" width="11.5703125" style="2" bestFit="1" customWidth="1"/>
    <col min="12" max="12" width="11.5703125" style="2" customWidth="1"/>
    <col min="13" max="13" width="11.5703125" style="2" bestFit="1" customWidth="1"/>
    <col min="14" max="14" width="11.5703125" style="2" customWidth="1"/>
    <col min="15" max="15" width="11.5703125" style="2" bestFit="1" customWidth="1"/>
    <col min="16" max="16" width="11.5703125" style="2" customWidth="1"/>
    <col min="17" max="17" width="11.5703125" style="2" bestFit="1" customWidth="1"/>
    <col min="18" max="18" width="11.5703125" style="2" customWidth="1"/>
    <col min="19" max="19" width="11.5703125" style="2" bestFit="1" customWidth="1"/>
    <col min="20" max="20" width="11.5703125" style="2" customWidth="1"/>
    <col min="21" max="21" width="11.5703125" style="2" bestFit="1" customWidth="1"/>
    <col min="22" max="22" width="11.5703125" style="2" customWidth="1"/>
    <col min="23" max="23" width="11.5703125" style="2" bestFit="1" customWidth="1"/>
    <col min="24" max="24" width="11.5703125" style="2" customWidth="1"/>
    <col min="25" max="25" width="11.5703125" style="2" bestFit="1" customWidth="1"/>
    <col min="26" max="26" width="11.5703125" style="2" customWidth="1"/>
    <col min="27" max="28" width="11.7109375" style="2" customWidth="1"/>
    <col min="29" max="29" width="11.5703125" style="2" bestFit="1" customWidth="1"/>
    <col min="30" max="30" width="11.5703125" style="2" customWidth="1"/>
    <col min="31" max="31" width="11.5703125" style="2" bestFit="1" customWidth="1"/>
    <col min="32" max="32" width="11.5703125" style="2" customWidth="1"/>
    <col min="33" max="33" width="11.5703125" style="2" bestFit="1" customWidth="1"/>
    <col min="34" max="34" width="11.5703125" style="2" customWidth="1"/>
    <col min="35" max="35" width="12.5703125" bestFit="1" customWidth="1"/>
  </cols>
  <sheetData>
    <row r="1" spans="1:35" ht="15.75" x14ac:dyDescent="0.25">
      <c r="A1" s="2" t="s">
        <v>14</v>
      </c>
      <c r="B1" s="2" t="s">
        <v>13</v>
      </c>
      <c r="C1" s="2" t="s">
        <v>119</v>
      </c>
      <c r="D1" s="3" t="s">
        <v>15</v>
      </c>
      <c r="E1" s="3" t="s">
        <v>16</v>
      </c>
      <c r="F1" s="3" t="s">
        <v>20</v>
      </c>
      <c r="G1" s="3" t="s">
        <v>18</v>
      </c>
      <c r="H1" s="3" t="s">
        <v>98</v>
      </c>
      <c r="I1" s="3" t="s">
        <v>99</v>
      </c>
      <c r="J1" s="3" t="s">
        <v>19</v>
      </c>
      <c r="K1" s="2" t="s">
        <v>0</v>
      </c>
      <c r="L1" s="2" t="s">
        <v>70</v>
      </c>
      <c r="M1" s="2" t="s">
        <v>1</v>
      </c>
      <c r="N1" s="2" t="s">
        <v>71</v>
      </c>
      <c r="O1" s="2" t="s">
        <v>2</v>
      </c>
      <c r="P1" s="2" t="s">
        <v>72</v>
      </c>
      <c r="Q1" s="2" t="s">
        <v>3</v>
      </c>
      <c r="R1" s="2" t="s">
        <v>73</v>
      </c>
      <c r="S1" s="2" t="s">
        <v>4</v>
      </c>
      <c r="T1" s="2" t="s">
        <v>74</v>
      </c>
      <c r="U1" s="2" t="s">
        <v>5</v>
      </c>
      <c r="V1" s="2" t="s">
        <v>75</v>
      </c>
      <c r="W1" s="2" t="s">
        <v>6</v>
      </c>
      <c r="X1" s="2" t="s">
        <v>76</v>
      </c>
      <c r="Y1" s="2" t="s">
        <v>7</v>
      </c>
      <c r="Z1" s="2" t="s">
        <v>77</v>
      </c>
      <c r="AA1" s="2" t="s">
        <v>8</v>
      </c>
      <c r="AB1" s="2" t="s">
        <v>78</v>
      </c>
      <c r="AC1" s="2" t="s">
        <v>9</v>
      </c>
      <c r="AD1" s="2" t="s">
        <v>79</v>
      </c>
      <c r="AE1" s="2" t="s">
        <v>10</v>
      </c>
      <c r="AF1" s="2" t="s">
        <v>80</v>
      </c>
      <c r="AG1" s="2" t="s">
        <v>11</v>
      </c>
      <c r="AH1" s="2" t="s">
        <v>81</v>
      </c>
      <c r="AI1" s="2" t="s">
        <v>17</v>
      </c>
    </row>
    <row r="2" spans="1:35" x14ac:dyDescent="0.25">
      <c r="A2" s="5" t="s">
        <v>37</v>
      </c>
      <c r="B2" s="5" t="s">
        <v>12</v>
      </c>
      <c r="C2" s="5" t="s">
        <v>120</v>
      </c>
      <c r="D2" s="5">
        <v>542.1</v>
      </c>
      <c r="E2" s="5">
        <v>35.4</v>
      </c>
      <c r="F2" s="6">
        <f t="shared" ref="F2:F33" si="0">E2/D2</f>
        <v>6.5301604869950194E-2</v>
      </c>
      <c r="G2" s="41">
        <v>43</v>
      </c>
      <c r="H2" s="5">
        <f>VLOOKUP(Таблица1[[#This Row],[Идентификатор]],Купоны[],2,0)</f>
        <v>2041</v>
      </c>
      <c r="I2" s="5">
        <f>VLOOKUP(Таблица1[[#This Row],[Идентификатор]],Купоны[],3,0)</f>
        <v>2</v>
      </c>
      <c r="J2" s="5">
        <f t="shared" ref="J2:J33" si="1">D2*G2</f>
        <v>23310.3</v>
      </c>
      <c r="K2" s="5"/>
      <c r="L2" s="5">
        <f>Таблица1[[#This Row],[Купон]]*Таблица1[[#This Row],[Январь]]*Таблица1[[#This Row],[Количество]]</f>
        <v>0</v>
      </c>
      <c r="M2" s="5"/>
      <c r="N2" s="5">
        <f>Таблица1[[#This Row],[Купон]]*Таблица1[[#This Row],[Февраль]]*Таблица1[[#This Row],[Количество]]</f>
        <v>0</v>
      </c>
      <c r="O2" s="5"/>
      <c r="P2" s="5">
        <f>Таблица1[[#This Row],[Купон]]*Таблица1[[#This Row],[Март]]*Таблица1[[#This Row],[Количество]]</f>
        <v>0</v>
      </c>
      <c r="Q2" s="5"/>
      <c r="R2" s="5">
        <f>Таблица1[[#This Row],[Купон]]*Таблица1[[#This Row],[Апрель]]*Таблица1[[#This Row],[Количество]]</f>
        <v>0</v>
      </c>
      <c r="S2" s="5"/>
      <c r="T2" s="5">
        <f>Таблица1[[#This Row],[Купон]]*Таблица1[[#This Row],[Май]]*Таблица1[[#This Row],[Количество]]</f>
        <v>0</v>
      </c>
      <c r="U2" s="5">
        <v>1</v>
      </c>
      <c r="V2" s="5">
        <f>Таблица1[[#This Row],[Июнь]]*Таблица1[[#This Row],[Купон]]*Таблица1[[#This Row],[Количество]]</f>
        <v>1522.2</v>
      </c>
      <c r="W2" s="5"/>
      <c r="X2" s="5">
        <f>Таблица1[[#This Row],[Купон]]*Таблица1[[#This Row],[Июль]]*Таблица1[[#This Row],[Количество]]</f>
        <v>0</v>
      </c>
      <c r="Y2" s="5"/>
      <c r="Z2" s="5">
        <f>Таблица1[[#This Row],[Купон]]*Таблица1[[#This Row],[Август]]*Таблица1[[#This Row],[Количество]]</f>
        <v>0</v>
      </c>
      <c r="AA2" s="5"/>
      <c r="AB2" s="5">
        <f>Таблица1[[#This Row],[Купон]]*Таблица1[[#This Row],[Сентябрь]]*Таблица1[[#This Row],[Количество]]</f>
        <v>0</v>
      </c>
      <c r="AC2" s="5"/>
      <c r="AD2" s="5">
        <f>Таблица1[[#This Row],[Купон]]*Таблица1[[#This Row],[Октябрь]]*Таблица1[[#This Row],[Количество]]</f>
        <v>0</v>
      </c>
      <c r="AE2" s="5"/>
      <c r="AF2" s="5">
        <f>Таблица1[[#This Row],[Купон]]*Таблица1[[#This Row],[Ноябрь]]*Таблица1[[#This Row],[Количество]]</f>
        <v>0</v>
      </c>
      <c r="AG2" s="5">
        <v>1</v>
      </c>
      <c r="AH2" s="5">
        <f>Таблица1[[#This Row],[Купон]]*Таблица1[[#This Row],[Декабрь]]*Таблица1[[#This Row],[Количество]]</f>
        <v>1522.2</v>
      </c>
      <c r="AI2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3044.4</v>
      </c>
    </row>
    <row r="3" spans="1:35" x14ac:dyDescent="0.25">
      <c r="A3" s="5" t="s">
        <v>115</v>
      </c>
      <c r="B3" s="5" t="s">
        <v>82</v>
      </c>
      <c r="C3" s="5" t="s">
        <v>120</v>
      </c>
      <c r="D3" s="5">
        <v>540.95000000000005</v>
      </c>
      <c r="E3" s="5">
        <v>30.42</v>
      </c>
      <c r="F3" s="6">
        <f t="shared" si="0"/>
        <v>5.6234402440151585E-2</v>
      </c>
      <c r="G3" s="41">
        <v>30</v>
      </c>
      <c r="H3" s="5">
        <f>VLOOKUP(Таблица1[[#This Row],[Идентификатор]],Купоны[],2,0)</f>
        <v>2035</v>
      </c>
      <c r="I3" s="5">
        <f>VLOOKUP(Таблица1[[#This Row],[Идентификатор]],Купоны[],3,0)</f>
        <v>2</v>
      </c>
      <c r="J3" s="5">
        <f t="shared" si="1"/>
        <v>16228.500000000002</v>
      </c>
      <c r="K3" s="5">
        <v>1</v>
      </c>
      <c r="L3" s="5">
        <f>Таблица1[[#This Row],[Купон]]*Таблица1[[#This Row],[Январь]]*Таблица1[[#This Row],[Количество]]</f>
        <v>912.6</v>
      </c>
      <c r="M3" s="5"/>
      <c r="N3" s="5">
        <f>Таблица1[[#This Row],[Купон]]*Таблица1[[#This Row],[Февраль]]*Таблица1[[#This Row],[Количество]]</f>
        <v>0</v>
      </c>
      <c r="O3" s="5"/>
      <c r="P3" s="5">
        <f>Таблица1[[#This Row],[Купон]]*Таблица1[[#This Row],[Март]]*Таблица1[[#This Row],[Количество]]</f>
        <v>0</v>
      </c>
      <c r="Q3" s="5"/>
      <c r="R3" s="5">
        <f>Таблица1[[#This Row],[Купон]]*Таблица1[[#This Row],[Апрель]]*Таблица1[[#This Row],[Количество]]</f>
        <v>0</v>
      </c>
      <c r="S3" s="5"/>
      <c r="T3" s="5">
        <f>Таблица1[[#This Row],[Купон]]*Таблица1[[#This Row],[Май]]*Таблица1[[#This Row],[Количество]]</f>
        <v>0</v>
      </c>
      <c r="U3" s="5"/>
      <c r="V3" s="5">
        <f>Таблица1[[#This Row],[Июнь]]*Таблица1[[#This Row],[Купон]]*Таблица1[[#This Row],[Количество]]</f>
        <v>0</v>
      </c>
      <c r="W3" s="5">
        <v>1</v>
      </c>
      <c r="X3" s="5">
        <f>Таблица1[[#This Row],[Купон]]*Таблица1[[#This Row],[Июль]]*Таблица1[[#This Row],[Количество]]</f>
        <v>912.6</v>
      </c>
      <c r="Y3" s="5"/>
      <c r="Z3" s="5">
        <f>Таблица1[[#This Row],[Купон]]*Таблица1[[#This Row],[Август]]*Таблица1[[#This Row],[Количество]]</f>
        <v>0</v>
      </c>
      <c r="AA3" s="5"/>
      <c r="AB3" s="5">
        <f>Таблица1[[#This Row],[Купон]]*Таблица1[[#This Row],[Сентябрь]]*Таблица1[[#This Row],[Количество]]</f>
        <v>0</v>
      </c>
      <c r="AC3" s="5"/>
      <c r="AD3" s="5">
        <f>Таблица1[[#This Row],[Купон]]*Таблица1[[#This Row],[Октябрь]]*Таблица1[[#This Row],[Количество]]</f>
        <v>0</v>
      </c>
      <c r="AE3" s="5"/>
      <c r="AF3" s="5">
        <f>Таблица1[[#This Row],[Купон]]*Таблица1[[#This Row],[Ноябрь]]*Таблица1[[#This Row],[Количество]]</f>
        <v>0</v>
      </c>
      <c r="AG3" s="5"/>
      <c r="AH3" s="5">
        <f>Таблица1[[#This Row],[Купон]]*Таблица1[[#This Row],[Декабрь]]*Таблица1[[#This Row],[Количество]]</f>
        <v>0</v>
      </c>
      <c r="AI3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1825.2</v>
      </c>
    </row>
    <row r="4" spans="1:35" x14ac:dyDescent="0.25">
      <c r="A4" s="5" t="s">
        <v>116</v>
      </c>
      <c r="B4" s="5" t="s">
        <v>83</v>
      </c>
      <c r="C4" s="5" t="s">
        <v>120</v>
      </c>
      <c r="D4" s="5">
        <v>570.88</v>
      </c>
      <c r="E4" s="5">
        <v>34.9</v>
      </c>
      <c r="F4" s="6">
        <f t="shared" si="0"/>
        <v>6.1133688340807173E-2</v>
      </c>
      <c r="G4" s="41">
        <v>29</v>
      </c>
      <c r="H4" s="5">
        <f>VLOOKUP(Таблица1[[#This Row],[Идентификатор]],Купоны[],2,0)</f>
        <v>2033</v>
      </c>
      <c r="I4" s="5">
        <f>VLOOKUP(Таблица1[[#This Row],[Идентификатор]],Купоны[],3,0)</f>
        <v>2</v>
      </c>
      <c r="J4" s="5">
        <f t="shared" si="1"/>
        <v>16555.52</v>
      </c>
      <c r="K4" s="5"/>
      <c r="L4" s="5">
        <f>Таблица1[[#This Row],[Купон]]*Таблица1[[#This Row],[Январь]]*Таблица1[[#This Row],[Количество]]</f>
        <v>0</v>
      </c>
      <c r="M4" s="5">
        <v>1</v>
      </c>
      <c r="N4" s="5">
        <f>Таблица1[[#This Row],[Купон]]*Таблица1[[#This Row],[Февраль]]*Таблица1[[#This Row],[Количество]]</f>
        <v>1012.0999999999999</v>
      </c>
      <c r="O4" s="5"/>
      <c r="P4" s="5">
        <f>Таблица1[[#This Row],[Купон]]*Таблица1[[#This Row],[Март]]*Таблица1[[#This Row],[Количество]]</f>
        <v>0</v>
      </c>
      <c r="Q4" s="5"/>
      <c r="R4" s="5">
        <f>Таблица1[[#This Row],[Купон]]*Таблица1[[#This Row],[Апрель]]*Таблица1[[#This Row],[Количество]]</f>
        <v>0</v>
      </c>
      <c r="S4" s="5"/>
      <c r="T4" s="5">
        <f>Таблица1[[#This Row],[Купон]]*Таблица1[[#This Row],[Май]]*Таблица1[[#This Row],[Количество]]</f>
        <v>0</v>
      </c>
      <c r="U4" s="5"/>
      <c r="V4" s="5">
        <f>Таблица1[[#This Row],[Июнь]]*Таблица1[[#This Row],[Купон]]*Таблица1[[#This Row],[Количество]]</f>
        <v>0</v>
      </c>
      <c r="W4" s="5"/>
      <c r="X4" s="5">
        <f>Таблица1[[#This Row],[Купон]]*Таблица1[[#This Row],[Июль]]*Таблица1[[#This Row],[Количество]]</f>
        <v>0</v>
      </c>
      <c r="Y4" s="5">
        <v>1</v>
      </c>
      <c r="Z4" s="5">
        <f>Таблица1[[#This Row],[Купон]]*Таблица1[[#This Row],[Август]]*Таблица1[[#This Row],[Количество]]</f>
        <v>1012.0999999999999</v>
      </c>
      <c r="AA4" s="5"/>
      <c r="AB4" s="5">
        <f>Таблица1[[#This Row],[Купон]]*Таблица1[[#This Row],[Сентябрь]]*Таблица1[[#This Row],[Количество]]</f>
        <v>0</v>
      </c>
      <c r="AC4" s="5"/>
      <c r="AD4" s="5">
        <f>Таблица1[[#This Row],[Купон]]*Таблица1[[#This Row],[Октябрь]]*Таблица1[[#This Row],[Количество]]</f>
        <v>0</v>
      </c>
      <c r="AE4" s="5"/>
      <c r="AF4" s="5">
        <f>Таблица1[[#This Row],[Купон]]*Таблица1[[#This Row],[Ноябрь]]*Таблица1[[#This Row],[Количество]]</f>
        <v>0</v>
      </c>
      <c r="AG4" s="5"/>
      <c r="AH4" s="5">
        <f>Таблица1[[#This Row],[Купон]]*Таблица1[[#This Row],[Декабрь]]*Таблица1[[#This Row],[Количество]]</f>
        <v>0</v>
      </c>
      <c r="AI4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2024.1999999999998</v>
      </c>
    </row>
    <row r="5" spans="1:35" x14ac:dyDescent="0.25">
      <c r="A5" s="5" t="s">
        <v>32</v>
      </c>
      <c r="B5" s="5" t="s">
        <v>53</v>
      </c>
      <c r="C5" s="5" t="s">
        <v>120</v>
      </c>
      <c r="D5" s="5">
        <v>724.78</v>
      </c>
      <c r="E5" s="5">
        <v>42.38</v>
      </c>
      <c r="F5" s="6">
        <f t="shared" si="0"/>
        <v>5.8472915919313452E-2</v>
      </c>
      <c r="G5" s="41">
        <v>11</v>
      </c>
      <c r="H5" s="5">
        <f>VLOOKUP(Таблица1[[#This Row],[Идентификатор]],Купоны[],2,0)</f>
        <v>2029</v>
      </c>
      <c r="I5" s="5">
        <f>VLOOKUP(Таблица1[[#This Row],[Идентификатор]],Купоны[],3,0)</f>
        <v>2</v>
      </c>
      <c r="J5" s="5">
        <f t="shared" si="1"/>
        <v>7972.58</v>
      </c>
      <c r="K5" s="5"/>
      <c r="L5" s="5">
        <f>Таблица1[[#This Row],[Купон]]*Таблица1[[#This Row],[Январь]]*Таблица1[[#This Row],[Количество]]</f>
        <v>0</v>
      </c>
      <c r="M5" s="5"/>
      <c r="N5" s="5">
        <f>Таблица1[[#This Row],[Купон]]*Таблица1[[#This Row],[Февраль]]*Таблица1[[#This Row],[Количество]]</f>
        <v>0</v>
      </c>
      <c r="O5" s="5">
        <v>1</v>
      </c>
      <c r="P5" s="5">
        <f>Таблица1[[#This Row],[Купон]]*Таблица1[[#This Row],[Март]]*Таблица1[[#This Row],[Количество]]</f>
        <v>466.18</v>
      </c>
      <c r="Q5" s="5"/>
      <c r="R5" s="5">
        <f>Таблица1[[#This Row],[Купон]]*Таблица1[[#This Row],[Апрель]]*Таблица1[[#This Row],[Количество]]</f>
        <v>0</v>
      </c>
      <c r="S5" s="5"/>
      <c r="T5" s="5">
        <f>Таблица1[[#This Row],[Купон]]*Таблица1[[#This Row],[Май]]*Таблица1[[#This Row],[Количество]]</f>
        <v>0</v>
      </c>
      <c r="U5" s="5"/>
      <c r="V5" s="5">
        <f>Таблица1[[#This Row],[Июнь]]*Таблица1[[#This Row],[Купон]]*Таблица1[[#This Row],[Количество]]</f>
        <v>0</v>
      </c>
      <c r="W5" s="5"/>
      <c r="X5" s="5">
        <f>Таблица1[[#This Row],[Купон]]*Таблица1[[#This Row],[Июль]]*Таблица1[[#This Row],[Количество]]</f>
        <v>0</v>
      </c>
      <c r="Y5" s="5"/>
      <c r="Z5" s="5">
        <f>Таблица1[[#This Row],[Купон]]*Таблица1[[#This Row],[Август]]*Таблица1[[#This Row],[Количество]]</f>
        <v>0</v>
      </c>
      <c r="AA5" s="5">
        <v>1</v>
      </c>
      <c r="AB5" s="5">
        <f>Таблица1[[#This Row],[Купон]]*Таблица1[[#This Row],[Сентябрь]]*Таблица1[[#This Row],[Количество]]</f>
        <v>466.18</v>
      </c>
      <c r="AC5" s="5"/>
      <c r="AD5" s="5">
        <f>Таблица1[[#This Row],[Купон]]*Таблица1[[#This Row],[Октябрь]]*Таблица1[[#This Row],[Количество]]</f>
        <v>0</v>
      </c>
      <c r="AE5" s="5"/>
      <c r="AF5" s="5">
        <f>Таблица1[[#This Row],[Купон]]*Таблица1[[#This Row],[Ноябрь]]*Таблица1[[#This Row],[Количество]]</f>
        <v>0</v>
      </c>
      <c r="AG5" s="5"/>
      <c r="AH5" s="5">
        <f>Таблица1[[#This Row],[Купон]]*Таблица1[[#This Row],[Декабрь]]*Таблица1[[#This Row],[Количество]]</f>
        <v>0</v>
      </c>
      <c r="AI5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932.36</v>
      </c>
    </row>
    <row r="6" spans="1:35" x14ac:dyDescent="0.25">
      <c r="A6" s="5" t="s">
        <v>117</v>
      </c>
      <c r="B6" s="5" t="s">
        <v>84</v>
      </c>
      <c r="C6" s="5" t="s">
        <v>120</v>
      </c>
      <c r="D6" s="5">
        <v>576.89</v>
      </c>
      <c r="E6" s="5">
        <v>38.39</v>
      </c>
      <c r="F6" s="6">
        <f t="shared" si="0"/>
        <v>6.6546481998301238E-2</v>
      </c>
      <c r="G6" s="41">
        <v>30</v>
      </c>
      <c r="H6" s="5">
        <f>VLOOKUP(Таблица1[[#This Row],[Идентификатор]],Купоны[],2,0)</f>
        <v>2031</v>
      </c>
      <c r="I6" s="5">
        <f>VLOOKUP(Таблица1[[#This Row],[Идентификатор]],Купоны[],3,0)</f>
        <v>2</v>
      </c>
      <c r="J6" s="5">
        <f t="shared" si="1"/>
        <v>17306.7</v>
      </c>
      <c r="K6" s="5"/>
      <c r="L6" s="5">
        <f>Таблица1[[#This Row],[Купон]]*Таблица1[[#This Row],[Январь]]*Таблица1[[#This Row],[Количество]]</f>
        <v>0</v>
      </c>
      <c r="M6" s="5"/>
      <c r="N6" s="5">
        <f>Таблица1[[#This Row],[Купон]]*Таблица1[[#This Row],[Февраль]]*Таблица1[[#This Row],[Количество]]</f>
        <v>0</v>
      </c>
      <c r="O6" s="5"/>
      <c r="P6" s="5">
        <f>Таблица1[[#This Row],[Купон]]*Таблица1[[#This Row],[Март]]*Таблица1[[#This Row],[Количество]]</f>
        <v>0</v>
      </c>
      <c r="Q6" s="5">
        <v>1</v>
      </c>
      <c r="R6" s="5">
        <f>Таблица1[[#This Row],[Купон]]*Таблица1[[#This Row],[Апрель]]*Таблица1[[#This Row],[Количество]]</f>
        <v>1151.7</v>
      </c>
      <c r="S6" s="5"/>
      <c r="T6" s="5">
        <f>Таблица1[[#This Row],[Купон]]*Таблица1[[#This Row],[Май]]*Таблица1[[#This Row],[Количество]]</f>
        <v>0</v>
      </c>
      <c r="U6" s="5"/>
      <c r="V6" s="5">
        <f>Таблица1[[#This Row],[Июнь]]*Таблица1[[#This Row],[Купон]]*Таблица1[[#This Row],[Количество]]</f>
        <v>0</v>
      </c>
      <c r="W6" s="5"/>
      <c r="X6" s="5">
        <f>Таблица1[[#This Row],[Купон]]*Таблица1[[#This Row],[Июль]]*Таблица1[[#This Row],[Количество]]</f>
        <v>0</v>
      </c>
      <c r="Y6" s="5"/>
      <c r="Z6" s="5">
        <f>Таблица1[[#This Row],[Купон]]*Таблица1[[#This Row],[Август]]*Таблица1[[#This Row],[Количество]]</f>
        <v>0</v>
      </c>
      <c r="AA6" s="5"/>
      <c r="AB6" s="5">
        <f>Таблица1[[#This Row],[Купон]]*Таблица1[[#This Row],[Сентябрь]]*Таблица1[[#This Row],[Количество]]</f>
        <v>0</v>
      </c>
      <c r="AC6" s="5">
        <v>1</v>
      </c>
      <c r="AD6" s="5">
        <f>Таблица1[[#This Row],[Купон]]*Таблица1[[#This Row],[Октябрь]]*Таблица1[[#This Row],[Количество]]</f>
        <v>1151.7</v>
      </c>
      <c r="AE6" s="5"/>
      <c r="AF6" s="5">
        <f>Таблица1[[#This Row],[Купон]]*Таблица1[[#This Row],[Ноябрь]]*Таблица1[[#This Row],[Количество]]</f>
        <v>0</v>
      </c>
      <c r="AG6" s="5"/>
      <c r="AH6" s="5">
        <f>Таблица1[[#This Row],[Купон]]*Таблица1[[#This Row],[Декабрь]]*Таблица1[[#This Row],[Количество]]</f>
        <v>0</v>
      </c>
      <c r="AI6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2303.4</v>
      </c>
    </row>
    <row r="7" spans="1:35" x14ac:dyDescent="0.25">
      <c r="A7" s="5" t="s">
        <v>118</v>
      </c>
      <c r="B7" s="5" t="s">
        <v>85</v>
      </c>
      <c r="C7" s="5" t="s">
        <v>120</v>
      </c>
      <c r="D7" s="5">
        <v>614.88</v>
      </c>
      <c r="E7" s="5">
        <v>36.15</v>
      </c>
      <c r="F7" s="6">
        <f t="shared" si="0"/>
        <v>5.8791959406713501E-2</v>
      </c>
      <c r="G7" s="41">
        <v>32</v>
      </c>
      <c r="H7" s="5">
        <f>VLOOKUP(Таблица1[[#This Row],[Идентификатор]],Купоны[],2,0)</f>
        <v>2027</v>
      </c>
      <c r="I7" s="5">
        <f>VLOOKUP(Таблица1[[#This Row],[Идентификатор]],Купоны[],3,0)</f>
        <v>2</v>
      </c>
      <c r="J7" s="5">
        <f t="shared" si="1"/>
        <v>19676.16</v>
      </c>
      <c r="K7" s="5"/>
      <c r="L7" s="5">
        <f>Таблица1[[#This Row],[Купон]]*Таблица1[[#This Row],[Январь]]*Таблица1[[#This Row],[Количество]]</f>
        <v>0</v>
      </c>
      <c r="M7" s="5"/>
      <c r="N7" s="5">
        <f>Таблица1[[#This Row],[Купон]]*Таблица1[[#This Row],[Февраль]]*Таблица1[[#This Row],[Количество]]</f>
        <v>0</v>
      </c>
      <c r="O7" s="5"/>
      <c r="P7" s="5">
        <f>Таблица1[[#This Row],[Купон]]*Таблица1[[#This Row],[Март]]*Таблица1[[#This Row],[Количество]]</f>
        <v>0</v>
      </c>
      <c r="Q7" s="5"/>
      <c r="R7" s="5">
        <f>Таблица1[[#This Row],[Купон]]*Таблица1[[#This Row],[Апрель]]*Таблица1[[#This Row],[Количество]]</f>
        <v>0</v>
      </c>
      <c r="S7" s="5">
        <v>1</v>
      </c>
      <c r="T7" s="5">
        <f>Таблица1[[#This Row],[Купон]]*Таблица1[[#This Row],[Май]]*Таблица1[[#This Row],[Количество]]</f>
        <v>1156.8</v>
      </c>
      <c r="U7" s="5"/>
      <c r="V7" s="5">
        <f>Таблица1[[#This Row],[Июнь]]*Таблица1[[#This Row],[Купон]]*Таблица1[[#This Row],[Количество]]</f>
        <v>0</v>
      </c>
      <c r="W7" s="5"/>
      <c r="X7" s="5">
        <f>Таблица1[[#This Row],[Купон]]*Таблица1[[#This Row],[Июль]]*Таблица1[[#This Row],[Количество]]</f>
        <v>0</v>
      </c>
      <c r="Y7" s="5"/>
      <c r="Z7" s="5">
        <f>Таблица1[[#This Row],[Купон]]*Таблица1[[#This Row],[Август]]*Таблица1[[#This Row],[Количество]]</f>
        <v>0</v>
      </c>
      <c r="AA7" s="5"/>
      <c r="AB7" s="5">
        <f>Таблица1[[#This Row],[Купон]]*Таблица1[[#This Row],[Сентябрь]]*Таблица1[[#This Row],[Количество]]</f>
        <v>0</v>
      </c>
      <c r="AC7" s="5"/>
      <c r="AD7" s="5">
        <f>Таблица1[[#This Row],[Купон]]*Таблица1[[#This Row],[Октябрь]]*Таблица1[[#This Row],[Количество]]</f>
        <v>0</v>
      </c>
      <c r="AE7" s="5">
        <v>1</v>
      </c>
      <c r="AF7" s="5">
        <f>Таблица1[[#This Row],[Купон]]*Таблица1[[#This Row],[Ноябрь]]*Таблица1[[#This Row],[Количество]]</f>
        <v>1156.8</v>
      </c>
      <c r="AG7" s="5"/>
      <c r="AH7" s="5">
        <f>Таблица1[[#This Row],[Купон]]*Таблица1[[#This Row],[Декабрь]]*Таблица1[[#This Row],[Количество]]</f>
        <v>0</v>
      </c>
      <c r="AI7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2313.6</v>
      </c>
    </row>
    <row r="8" spans="1:35" x14ac:dyDescent="0.25">
      <c r="A8" s="5" t="s">
        <v>21</v>
      </c>
      <c r="B8" s="5" t="s">
        <v>22</v>
      </c>
      <c r="C8" s="5" t="s">
        <v>121</v>
      </c>
      <c r="D8" s="5">
        <v>873.6</v>
      </c>
      <c r="E8" s="5">
        <v>29.42</v>
      </c>
      <c r="F8" s="6">
        <f t="shared" si="0"/>
        <v>3.3676739926739925E-2</v>
      </c>
      <c r="G8" s="41">
        <v>1</v>
      </c>
      <c r="H8" s="5">
        <f>VLOOKUP(Таблица1[[#This Row],[Идентификатор]],Купоны[],2,0)</f>
        <v>46205</v>
      </c>
      <c r="I8" s="5">
        <f>VLOOKUP(Таблица1[[#This Row],[Идентификатор]],Купоны[],3,0)</f>
        <v>2</v>
      </c>
      <c r="J8" s="5">
        <f t="shared" si="1"/>
        <v>873.6</v>
      </c>
      <c r="K8" s="5">
        <v>1</v>
      </c>
      <c r="L8" s="5">
        <f>Таблица1[[#This Row],[Купон]]*Таблица1[[#This Row],[Январь]]*Таблица1[[#This Row],[Количество]]</f>
        <v>29.42</v>
      </c>
      <c r="M8" s="5"/>
      <c r="N8" s="5">
        <f>Таблица1[[#This Row],[Купон]]*Таблица1[[#This Row],[Февраль]]*Таблица1[[#This Row],[Количество]]</f>
        <v>0</v>
      </c>
      <c r="O8" s="5"/>
      <c r="P8" s="5">
        <f>Таблица1[[#This Row],[Купон]]*Таблица1[[#This Row],[Март]]*Таблица1[[#This Row],[Количество]]</f>
        <v>0</v>
      </c>
      <c r="Q8" s="5">
        <v>1</v>
      </c>
      <c r="R8" s="5">
        <f>Таблица1[[#This Row],[Купон]]*Таблица1[[#This Row],[Апрель]]*Таблица1[[#This Row],[Количество]]</f>
        <v>29.42</v>
      </c>
      <c r="S8" s="5"/>
      <c r="T8" s="5">
        <f>Таблица1[[#This Row],[Купон]]*Таблица1[[#This Row],[Май]]*Таблица1[[#This Row],[Количество]]</f>
        <v>0</v>
      </c>
      <c r="U8" s="5"/>
      <c r="V8" s="5">
        <f>Таблица1[[#This Row],[Июнь]]*Таблица1[[#This Row],[Купон]]*Таблица1[[#This Row],[Количество]]</f>
        <v>0</v>
      </c>
      <c r="W8" s="5"/>
      <c r="X8" s="5">
        <f>Таблица1[[#This Row],[Купон]]*Таблица1[[#This Row],[Июль]]*Таблица1[[#This Row],[Количество]]</f>
        <v>0</v>
      </c>
      <c r="Y8" s="5"/>
      <c r="Z8" s="5">
        <f>Таблица1[[#This Row],[Купон]]*Таблица1[[#This Row],[Август]]*Таблица1[[#This Row],[Количество]]</f>
        <v>0</v>
      </c>
      <c r="AA8" s="5"/>
      <c r="AB8" s="5">
        <f>Таблица1[[#This Row],[Купон]]*Таблица1[[#This Row],[Сентябрь]]*Таблица1[[#This Row],[Количество]]</f>
        <v>0</v>
      </c>
      <c r="AC8" s="5">
        <v>1</v>
      </c>
      <c r="AD8" s="5">
        <f>Таблица1[[#This Row],[Купон]]*Таблица1[[#This Row],[Октябрь]]*Таблица1[[#This Row],[Количество]]</f>
        <v>29.42</v>
      </c>
      <c r="AE8" s="5"/>
      <c r="AF8" s="5">
        <f>Таблица1[[#This Row],[Купон]]*Таблица1[[#This Row],[Ноябрь]]*Таблица1[[#This Row],[Количество]]</f>
        <v>0</v>
      </c>
      <c r="AG8" s="5"/>
      <c r="AH8" s="5">
        <f>Таблица1[[#This Row],[Купон]]*Таблица1[[#This Row],[Декабрь]]*Таблица1[[#This Row],[Количество]]</f>
        <v>0</v>
      </c>
      <c r="AI8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88.26</v>
      </c>
    </row>
    <row r="9" spans="1:35" x14ac:dyDescent="0.25">
      <c r="A9" s="5" t="s">
        <v>26</v>
      </c>
      <c r="B9" s="5" t="s">
        <v>27</v>
      </c>
      <c r="C9" s="5" t="s">
        <v>121</v>
      </c>
      <c r="D9" s="5">
        <v>985.78</v>
      </c>
      <c r="E9" s="5">
        <v>36.15</v>
      </c>
      <c r="F9" s="6">
        <f t="shared" si="0"/>
        <v>3.6671468278926332E-2</v>
      </c>
      <c r="G9" s="41">
        <v>1</v>
      </c>
      <c r="H9" s="5">
        <f>VLOOKUP(Таблица1[[#This Row],[Идентификатор]],Купоны[],2,0)</f>
        <v>2026</v>
      </c>
      <c r="I9" s="5">
        <f>VLOOKUP(Таблица1[[#This Row],[Идентификатор]],Купоны[],3,0)</f>
        <v>4</v>
      </c>
      <c r="J9" s="5">
        <f t="shared" si="1"/>
        <v>985.78</v>
      </c>
      <c r="K9" s="5">
        <v>1</v>
      </c>
      <c r="L9" s="5">
        <f>Таблица1[[#This Row],[Купон]]*Таблица1[[#This Row],[Январь]]*Таблица1[[#This Row],[Количество]]</f>
        <v>36.15</v>
      </c>
      <c r="M9" s="5"/>
      <c r="N9" s="5">
        <f>Таблица1[[#This Row],[Купон]]*Таблица1[[#This Row],[Февраль]]*Таблица1[[#This Row],[Количество]]</f>
        <v>0</v>
      </c>
      <c r="O9" s="5"/>
      <c r="P9" s="5">
        <f>Таблица1[[#This Row],[Купон]]*Таблица1[[#This Row],[Март]]*Таблица1[[#This Row],[Количество]]</f>
        <v>0</v>
      </c>
      <c r="Q9" s="5">
        <v>1</v>
      </c>
      <c r="R9" s="5">
        <f>Таблица1[[#This Row],[Купон]]*Таблица1[[#This Row],[Апрель]]*Таблица1[[#This Row],[Количество]]</f>
        <v>36.15</v>
      </c>
      <c r="S9" s="5"/>
      <c r="T9" s="5">
        <f>Таблица1[[#This Row],[Купон]]*Таблица1[[#This Row],[Май]]*Таблица1[[#This Row],[Количество]]</f>
        <v>0</v>
      </c>
      <c r="U9" s="5"/>
      <c r="V9" s="5">
        <f>Таблица1[[#This Row],[Июнь]]*Таблица1[[#This Row],[Купон]]*Таблица1[[#This Row],[Количество]]</f>
        <v>0</v>
      </c>
      <c r="W9" s="5">
        <v>1</v>
      </c>
      <c r="X9" s="5">
        <f>Таблица1[[#This Row],[Купон]]*Таблица1[[#This Row],[Июль]]*Таблица1[[#This Row],[Количество]]</f>
        <v>36.15</v>
      </c>
      <c r="Y9" s="5"/>
      <c r="Z9" s="5">
        <f>Таблица1[[#This Row],[Купон]]*Таблица1[[#This Row],[Август]]*Таблица1[[#This Row],[Количество]]</f>
        <v>0</v>
      </c>
      <c r="AA9" s="5"/>
      <c r="AB9" s="5">
        <f>Таблица1[[#This Row],[Купон]]*Таблица1[[#This Row],[Сентябрь]]*Таблица1[[#This Row],[Количество]]</f>
        <v>0</v>
      </c>
      <c r="AC9" s="5">
        <v>1</v>
      </c>
      <c r="AD9" s="5">
        <f>Таблица1[[#This Row],[Купон]]*Таблица1[[#This Row],[Октябрь]]*Таблица1[[#This Row],[Количество]]</f>
        <v>36.15</v>
      </c>
      <c r="AE9" s="5"/>
      <c r="AF9" s="5">
        <f>Таблица1[[#This Row],[Купон]]*Таблица1[[#This Row],[Ноябрь]]*Таблица1[[#This Row],[Количество]]</f>
        <v>0</v>
      </c>
      <c r="AG9" s="5"/>
      <c r="AH9" s="5">
        <f>Таблица1[[#This Row],[Купон]]*Таблица1[[#This Row],[Декабрь]]*Таблица1[[#This Row],[Количество]]</f>
        <v>0</v>
      </c>
      <c r="AI9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144.6</v>
      </c>
    </row>
    <row r="10" spans="1:35" x14ac:dyDescent="0.25">
      <c r="A10" s="5" t="s">
        <v>137</v>
      </c>
      <c r="B10" s="5" t="s">
        <v>25</v>
      </c>
      <c r="C10" s="5" t="s">
        <v>121</v>
      </c>
      <c r="D10" s="5">
        <v>884.5</v>
      </c>
      <c r="E10" s="5">
        <v>31.66</v>
      </c>
      <c r="F10" s="6">
        <f t="shared" si="0"/>
        <v>3.5794234030525722E-2</v>
      </c>
      <c r="G10" s="41">
        <v>2</v>
      </c>
      <c r="H10" s="5">
        <f>VLOOKUP(Таблица1[[#This Row],[Идентификатор]],Купоны[],2,0)</f>
        <v>2026</v>
      </c>
      <c r="I10" s="5">
        <f>VLOOKUP(Таблица1[[#This Row],[Идентификатор]],Купоны[],3,0)</f>
        <v>4</v>
      </c>
      <c r="J10" s="5">
        <f t="shared" si="1"/>
        <v>1769</v>
      </c>
      <c r="K10" s="5"/>
      <c r="L10" s="5">
        <f>Таблица1[[#This Row],[Купон]]*Таблица1[[#This Row],[Январь]]*Таблица1[[#This Row],[Количество]]</f>
        <v>0</v>
      </c>
      <c r="M10" s="5">
        <v>1</v>
      </c>
      <c r="N10" s="5">
        <f>Таблица1[[#This Row],[Купон]]*Таблица1[[#This Row],[Февраль]]*Таблица1[[#This Row],[Количество]]</f>
        <v>63.32</v>
      </c>
      <c r="O10" s="5"/>
      <c r="P10" s="5">
        <f>Таблица1[[#This Row],[Купон]]*Таблица1[[#This Row],[Март]]*Таблица1[[#This Row],[Количество]]</f>
        <v>0</v>
      </c>
      <c r="Q10" s="5"/>
      <c r="R10" s="5">
        <f>Таблица1[[#This Row],[Купон]]*Таблица1[[#This Row],[Апрель]]*Таблица1[[#This Row],[Количество]]</f>
        <v>0</v>
      </c>
      <c r="S10" s="5"/>
      <c r="T10" s="5">
        <f>Таблица1[[#This Row],[Купон]]*Таблица1[[#This Row],[Май]]*Таблица1[[#This Row],[Количество]]</f>
        <v>0</v>
      </c>
      <c r="U10" s="5"/>
      <c r="V10" s="5">
        <f>Таблица1[[#This Row],[Июнь]]*Таблица1[[#This Row],[Купон]]*Таблица1[[#This Row],[Количество]]</f>
        <v>0</v>
      </c>
      <c r="W10" s="5"/>
      <c r="X10" s="5">
        <f>Таблица1[[#This Row],[Купон]]*Таблица1[[#This Row],[Июль]]*Таблица1[[#This Row],[Количество]]</f>
        <v>0</v>
      </c>
      <c r="Y10" s="5">
        <v>1</v>
      </c>
      <c r="Z10" s="5">
        <f>Таблица1[[#This Row],[Купон]]*Таблица1[[#This Row],[Август]]*Таблица1[[#This Row],[Количество]]</f>
        <v>63.32</v>
      </c>
      <c r="AA10" s="5"/>
      <c r="AB10" s="5">
        <f>Таблица1[[#This Row],[Купон]]*Таблица1[[#This Row],[Сентябрь]]*Таблица1[[#This Row],[Количество]]</f>
        <v>0</v>
      </c>
      <c r="AC10" s="5"/>
      <c r="AD10" s="5">
        <f>Таблица1[[#This Row],[Купон]]*Таблица1[[#This Row],[Октябрь]]*Таблица1[[#This Row],[Количество]]</f>
        <v>0</v>
      </c>
      <c r="AE10" s="5"/>
      <c r="AF10" s="5">
        <f>Таблица1[[#This Row],[Купон]]*Таблица1[[#This Row],[Ноябрь]]*Таблица1[[#This Row],[Количество]]</f>
        <v>0</v>
      </c>
      <c r="AG10" s="5"/>
      <c r="AH10" s="5">
        <f>Таблица1[[#This Row],[Купон]]*Таблица1[[#This Row],[Декабрь]]*Таблица1[[#This Row],[Количество]]</f>
        <v>0</v>
      </c>
      <c r="AI10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126.64</v>
      </c>
    </row>
    <row r="11" spans="1:35" x14ac:dyDescent="0.25">
      <c r="A11" s="5" t="s">
        <v>28</v>
      </c>
      <c r="B11" s="5" t="s">
        <v>29</v>
      </c>
      <c r="C11" s="5" t="s">
        <v>121</v>
      </c>
      <c r="D11" s="5">
        <v>351</v>
      </c>
      <c r="E11" s="5">
        <v>7.98</v>
      </c>
      <c r="F11" s="6">
        <f t="shared" si="0"/>
        <v>2.2735042735042735E-2</v>
      </c>
      <c r="G11" s="41">
        <v>5</v>
      </c>
      <c r="H11" s="5">
        <f>VLOOKUP(Таблица1[[#This Row],[Идентификатор]],Купоны[],2,0)</f>
        <v>2025</v>
      </c>
      <c r="I11" s="5">
        <f>VLOOKUP(Таблица1[[#This Row],[Идентификатор]],Купоны[],3,0)</f>
        <v>4</v>
      </c>
      <c r="J11" s="5">
        <f t="shared" si="1"/>
        <v>1755</v>
      </c>
      <c r="K11" s="5"/>
      <c r="L11" s="5">
        <f>Таблица1[[#This Row],[Купон]]*Таблица1[[#This Row],[Январь]]*Таблица1[[#This Row],[Количество]]</f>
        <v>0</v>
      </c>
      <c r="M11" s="5">
        <v>1</v>
      </c>
      <c r="N11" s="5">
        <f>Таблица1[[#This Row],[Купон]]*Таблица1[[#This Row],[Февраль]]*Таблица1[[#This Row],[Количество]]</f>
        <v>39.900000000000006</v>
      </c>
      <c r="O11" s="5"/>
      <c r="P11" s="5">
        <f>Таблица1[[#This Row],[Купон]]*Таблица1[[#This Row],[Март]]*Таблица1[[#This Row],[Количество]]</f>
        <v>0</v>
      </c>
      <c r="Q11" s="5"/>
      <c r="R11" s="5">
        <f>Таблица1[[#This Row],[Купон]]*Таблица1[[#This Row],[Апрель]]*Таблица1[[#This Row],[Количество]]</f>
        <v>0</v>
      </c>
      <c r="S11" s="5">
        <v>1</v>
      </c>
      <c r="T11" s="5">
        <f>Таблица1[[#This Row],[Купон]]*Таблица1[[#This Row],[Май]]*Таблица1[[#This Row],[Количество]]</f>
        <v>39.900000000000006</v>
      </c>
      <c r="U11" s="5"/>
      <c r="V11" s="5">
        <f>Таблица1[[#This Row],[Июнь]]*Таблица1[[#This Row],[Купон]]*Таблица1[[#This Row],[Количество]]</f>
        <v>0</v>
      </c>
      <c r="W11" s="5"/>
      <c r="X11" s="5">
        <f>Таблица1[[#This Row],[Купон]]*Таблица1[[#This Row],[Июль]]*Таблица1[[#This Row],[Количество]]</f>
        <v>0</v>
      </c>
      <c r="Y11" s="5">
        <v>1</v>
      </c>
      <c r="Z11" s="5">
        <f>Таблица1[[#This Row],[Купон]]*Таблица1[[#This Row],[Август]]*Таблица1[[#This Row],[Количество]]</f>
        <v>39.900000000000006</v>
      </c>
      <c r="AA11" s="5"/>
      <c r="AB11" s="5">
        <f>Таблица1[[#This Row],[Купон]]*Таблица1[[#This Row],[Сентябрь]]*Таблица1[[#This Row],[Количество]]</f>
        <v>0</v>
      </c>
      <c r="AC11" s="5"/>
      <c r="AD11" s="5">
        <f>Таблица1[[#This Row],[Купон]]*Таблица1[[#This Row],[Октябрь]]*Таблица1[[#This Row],[Количество]]</f>
        <v>0</v>
      </c>
      <c r="AE11" s="5">
        <v>1</v>
      </c>
      <c r="AF11" s="5">
        <f>Таблица1[[#This Row],[Купон]]*Таблица1[[#This Row],[Ноябрь]]*Таблица1[[#This Row],[Количество]]</f>
        <v>39.900000000000006</v>
      </c>
      <c r="AG11" s="5"/>
      <c r="AH11" s="5">
        <f>Таблица1[[#This Row],[Купон]]*Таблица1[[#This Row],[Декабрь]]*Таблица1[[#This Row],[Количество]]</f>
        <v>0</v>
      </c>
      <c r="AI11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159.60000000000002</v>
      </c>
    </row>
    <row r="12" spans="1:35" x14ac:dyDescent="0.25">
      <c r="A12" s="5" t="s">
        <v>30</v>
      </c>
      <c r="B12" s="5" t="s">
        <v>47</v>
      </c>
      <c r="C12" s="5" t="s">
        <v>121</v>
      </c>
      <c r="D12" s="5">
        <v>693.84</v>
      </c>
      <c r="E12" s="5">
        <v>17.25</v>
      </c>
      <c r="F12" s="6">
        <f t="shared" si="0"/>
        <v>2.4861639571082669E-2</v>
      </c>
      <c r="G12" s="41">
        <v>1</v>
      </c>
      <c r="H12" s="5">
        <f>VLOOKUP(Таблица1[[#This Row],[Идентификатор]],Купоны[],2,0)</f>
        <v>2024</v>
      </c>
      <c r="I12" s="5">
        <f>VLOOKUP(Таблица1[[#This Row],[Идентификатор]],Купоны[],3,0)</f>
        <v>4</v>
      </c>
      <c r="J12" s="5">
        <f t="shared" si="1"/>
        <v>693.84</v>
      </c>
      <c r="K12" s="5"/>
      <c r="L12" s="5">
        <f>Таблица1[[#This Row],[Купон]]*Таблица1[[#This Row],[Январь]]*Таблица1[[#This Row],[Количество]]</f>
        <v>0</v>
      </c>
      <c r="M12" s="5"/>
      <c r="N12" s="5">
        <f>Таблица1[[#This Row],[Купон]]*Таблица1[[#This Row],[Февраль]]*Таблица1[[#This Row],[Количество]]</f>
        <v>0</v>
      </c>
      <c r="O12" s="5">
        <v>1</v>
      </c>
      <c r="P12" s="5">
        <f>Таблица1[[#This Row],[Купон]]*Таблица1[[#This Row],[Март]]*Таблица1[[#This Row],[Количество]]</f>
        <v>17.25</v>
      </c>
      <c r="Q12" s="5"/>
      <c r="R12" s="5">
        <f>Таблица1[[#This Row],[Купон]]*Таблица1[[#This Row],[Апрель]]*Таблица1[[#This Row],[Количество]]</f>
        <v>0</v>
      </c>
      <c r="S12" s="5"/>
      <c r="T12" s="5">
        <f>Таблица1[[#This Row],[Купон]]*Таблица1[[#This Row],[Май]]*Таблица1[[#This Row],[Количество]]</f>
        <v>0</v>
      </c>
      <c r="U12" s="5">
        <v>1</v>
      </c>
      <c r="V12" s="5">
        <f>Таблица1[[#This Row],[Июнь]]*Таблица1[[#This Row],[Купон]]*Таблица1[[#This Row],[Количество]]</f>
        <v>17.25</v>
      </c>
      <c r="W12" s="5"/>
      <c r="X12" s="5">
        <f>Таблица1[[#This Row],[Купон]]*Таблица1[[#This Row],[Июль]]*Таблица1[[#This Row],[Количество]]</f>
        <v>0</v>
      </c>
      <c r="Y12" s="5"/>
      <c r="Z12" s="5">
        <f>Таблица1[[#This Row],[Купон]]*Таблица1[[#This Row],[Август]]*Таблица1[[#This Row],[Количество]]</f>
        <v>0</v>
      </c>
      <c r="AA12" s="5">
        <v>1</v>
      </c>
      <c r="AB12" s="5">
        <f>Таблица1[[#This Row],[Купон]]*Таблица1[[#This Row],[Сентябрь]]*Таблица1[[#This Row],[Количество]]</f>
        <v>17.25</v>
      </c>
      <c r="AC12" s="5"/>
      <c r="AD12" s="5">
        <f>Таблица1[[#This Row],[Купон]]*Таблица1[[#This Row],[Октябрь]]*Таблица1[[#This Row],[Количество]]</f>
        <v>0</v>
      </c>
      <c r="AE12" s="5"/>
      <c r="AF12" s="5">
        <f>Таблица1[[#This Row],[Купон]]*Таблица1[[#This Row],[Ноябрь]]*Таблица1[[#This Row],[Количество]]</f>
        <v>0</v>
      </c>
      <c r="AG12" s="5">
        <v>1</v>
      </c>
      <c r="AH12" s="5">
        <f>Таблица1[[#This Row],[Купон]]*Таблица1[[#This Row],[Декабрь]]*Таблица1[[#This Row],[Количество]]</f>
        <v>17.25</v>
      </c>
      <c r="AI12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69</v>
      </c>
    </row>
    <row r="13" spans="1:35" x14ac:dyDescent="0.25">
      <c r="A13" s="5" t="s">
        <v>31</v>
      </c>
      <c r="B13" s="5" t="s">
        <v>50</v>
      </c>
      <c r="C13" s="5" t="s">
        <v>120</v>
      </c>
      <c r="D13" s="5">
        <v>868.61</v>
      </c>
      <c r="E13" s="5">
        <v>40.64</v>
      </c>
      <c r="F13" s="6">
        <f t="shared" si="0"/>
        <v>4.6787395954455968E-2</v>
      </c>
      <c r="G13" s="41">
        <v>6</v>
      </c>
      <c r="H13" s="5">
        <f>VLOOKUP(Таблица1[[#This Row],[Идентификатор]],Купоны[],2,0)</f>
        <v>2028</v>
      </c>
      <c r="I13" s="5">
        <f>VLOOKUP(Таблица1[[#This Row],[Идентификатор]],Купоны[],3,0)</f>
        <v>2</v>
      </c>
      <c r="J13" s="5">
        <f t="shared" si="1"/>
        <v>5211.66</v>
      </c>
      <c r="K13" s="5"/>
      <c r="L13" s="5">
        <f>Таблица1[[#This Row],[Купон]]*Таблица1[[#This Row],[Январь]]*Таблица1[[#This Row],[Количество]]</f>
        <v>0</v>
      </c>
      <c r="M13" s="5">
        <v>1</v>
      </c>
      <c r="N13" s="5">
        <f>Таблица1[[#This Row],[Купон]]*Таблица1[[#This Row],[Февраль]]*Таблица1[[#This Row],[Количество]]</f>
        <v>243.84</v>
      </c>
      <c r="O13" s="5"/>
      <c r="P13" s="5">
        <f>Таблица1[[#This Row],[Купон]]*Таблица1[[#This Row],[Март]]*Таблица1[[#This Row],[Количество]]</f>
        <v>0</v>
      </c>
      <c r="Q13" s="5"/>
      <c r="R13" s="5">
        <f>Таблица1[[#This Row],[Купон]]*Таблица1[[#This Row],[Апрель]]*Таблица1[[#This Row],[Количество]]</f>
        <v>0</v>
      </c>
      <c r="S13" s="5"/>
      <c r="T13" s="5">
        <f>Таблица1[[#This Row],[Купон]]*Таблица1[[#This Row],[Май]]*Таблица1[[#This Row],[Количество]]</f>
        <v>0</v>
      </c>
      <c r="U13" s="5"/>
      <c r="V13" s="5">
        <f>Таблица1[[#This Row],[Июнь]]*Таблица1[[#This Row],[Купон]]*Таблица1[[#This Row],[Количество]]</f>
        <v>0</v>
      </c>
      <c r="W13" s="5"/>
      <c r="X13" s="5">
        <f>Таблица1[[#This Row],[Купон]]*Таблица1[[#This Row],[Июль]]*Таблица1[[#This Row],[Количество]]</f>
        <v>0</v>
      </c>
      <c r="Y13" s="5">
        <v>1</v>
      </c>
      <c r="Z13" s="5">
        <f>Таблица1[[#This Row],[Купон]]*Таблица1[[#This Row],[Август]]*Таблица1[[#This Row],[Количество]]</f>
        <v>243.84</v>
      </c>
      <c r="AA13" s="5"/>
      <c r="AB13" s="5">
        <f>Таблица1[[#This Row],[Купон]]*Таблица1[[#This Row],[Сентябрь]]*Таблица1[[#This Row],[Количество]]</f>
        <v>0</v>
      </c>
      <c r="AC13" s="5"/>
      <c r="AD13" s="5">
        <f>Таблица1[[#This Row],[Купон]]*Таблица1[[#This Row],[Октябрь]]*Таблица1[[#This Row],[Количество]]</f>
        <v>0</v>
      </c>
      <c r="AE13" s="5"/>
      <c r="AF13" s="5">
        <f>Таблица1[[#This Row],[Купон]]*Таблица1[[#This Row],[Ноябрь]]*Таблица1[[#This Row],[Количество]]</f>
        <v>0</v>
      </c>
      <c r="AG13" s="5"/>
      <c r="AH13" s="5">
        <f>Таблица1[[#This Row],[Купон]]*Таблица1[[#This Row],[Декабрь]]*Таблица1[[#This Row],[Количество]]</f>
        <v>0</v>
      </c>
      <c r="AI13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487.68</v>
      </c>
    </row>
    <row r="14" spans="1:35" x14ac:dyDescent="0.25">
      <c r="A14" s="5" t="s">
        <v>33</v>
      </c>
      <c r="B14" s="5" t="s">
        <v>55</v>
      </c>
      <c r="C14" s="5" t="s">
        <v>120</v>
      </c>
      <c r="D14" s="5">
        <v>886.09</v>
      </c>
      <c r="E14" s="5">
        <v>38.64</v>
      </c>
      <c r="F14" s="6">
        <f t="shared" si="0"/>
        <v>4.3607308512679299E-2</v>
      </c>
      <c r="G14" s="41">
        <v>7</v>
      </c>
      <c r="H14" s="5">
        <f>VLOOKUP(Таблица1[[#This Row],[Идентификатор]],Купоны[],2,0)</f>
        <v>2030</v>
      </c>
      <c r="I14" s="5">
        <f>VLOOKUP(Таблица1[[#This Row],[Идентификатор]],Купоны[],3,0)</f>
        <v>2</v>
      </c>
      <c r="J14" s="5">
        <f t="shared" si="1"/>
        <v>6202.63</v>
      </c>
      <c r="K14" s="5"/>
      <c r="L14" s="5">
        <f>Таблица1[[#This Row],[Купон]]*Таблица1[[#This Row],[Январь]]*Таблица1[[#This Row],[Количество]]</f>
        <v>0</v>
      </c>
      <c r="M14" s="5"/>
      <c r="N14" s="5">
        <f>Таблица1[[#This Row],[Купон]]*Таблица1[[#This Row],[Февраль]]*Таблица1[[#This Row],[Количество]]</f>
        <v>0</v>
      </c>
      <c r="O14" s="5">
        <v>1</v>
      </c>
      <c r="P14" s="5">
        <f>Таблица1[[#This Row],[Купон]]*Таблица1[[#This Row],[Март]]*Таблица1[[#This Row],[Количество]]</f>
        <v>270.48</v>
      </c>
      <c r="Q14" s="5"/>
      <c r="R14" s="5">
        <f>Таблица1[[#This Row],[Купон]]*Таблица1[[#This Row],[Апрель]]*Таблица1[[#This Row],[Количество]]</f>
        <v>0</v>
      </c>
      <c r="S14" s="5"/>
      <c r="T14" s="5">
        <f>Таблица1[[#This Row],[Купон]]*Таблица1[[#This Row],[Май]]*Таблица1[[#This Row],[Количество]]</f>
        <v>0</v>
      </c>
      <c r="U14" s="5"/>
      <c r="V14" s="5">
        <f>Таблица1[[#This Row],[Июнь]]*Таблица1[[#This Row],[Купон]]*Таблица1[[#This Row],[Количество]]</f>
        <v>0</v>
      </c>
      <c r="W14" s="5"/>
      <c r="X14" s="5">
        <f>Таблица1[[#This Row],[Купон]]*Таблица1[[#This Row],[Июль]]*Таблица1[[#This Row],[Количество]]</f>
        <v>0</v>
      </c>
      <c r="Y14" s="5"/>
      <c r="Z14" s="5">
        <f>Таблица1[[#This Row],[Купон]]*Таблица1[[#This Row],[Август]]*Таблица1[[#This Row],[Количество]]</f>
        <v>0</v>
      </c>
      <c r="AA14" s="5">
        <v>1</v>
      </c>
      <c r="AB14" s="5">
        <f>Таблица1[[#This Row],[Купон]]*Таблица1[[#This Row],[Сентябрь]]*Таблица1[[#This Row],[Количество]]</f>
        <v>270.48</v>
      </c>
      <c r="AC14" s="5"/>
      <c r="AD14" s="5">
        <f>Таблица1[[#This Row],[Купон]]*Таблица1[[#This Row],[Октябрь]]*Таблица1[[#This Row],[Количество]]</f>
        <v>0</v>
      </c>
      <c r="AE14" s="5"/>
      <c r="AF14" s="5">
        <f>Таблица1[[#This Row],[Купон]]*Таблица1[[#This Row],[Ноябрь]]*Таблица1[[#This Row],[Количество]]</f>
        <v>0</v>
      </c>
      <c r="AG14" s="5"/>
      <c r="AH14" s="5">
        <f>Таблица1[[#This Row],[Купон]]*Таблица1[[#This Row],[Декабрь]]*Таблица1[[#This Row],[Количество]]</f>
        <v>0</v>
      </c>
      <c r="AI14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540.96</v>
      </c>
    </row>
    <row r="15" spans="1:35" x14ac:dyDescent="0.25">
      <c r="A15" s="5" t="s">
        <v>34</v>
      </c>
      <c r="B15" s="5" t="s">
        <v>51</v>
      </c>
      <c r="C15" s="5" t="s">
        <v>120</v>
      </c>
      <c r="D15" s="5">
        <v>884.59</v>
      </c>
      <c r="E15" s="5">
        <v>39.64</v>
      </c>
      <c r="F15" s="6">
        <f t="shared" si="0"/>
        <v>4.4811720684158764E-2</v>
      </c>
      <c r="G15" s="41">
        <v>1</v>
      </c>
      <c r="H15" s="5">
        <f>VLOOKUP(Таблица1[[#This Row],[Идентификатор]],Купоны[],2,0)</f>
        <v>2035</v>
      </c>
      <c r="I15" s="5">
        <f>VLOOKUP(Таблица1[[#This Row],[Идентификатор]],Купоны[],3,0)</f>
        <v>2</v>
      </c>
      <c r="J15" s="5">
        <f t="shared" si="1"/>
        <v>884.59</v>
      </c>
      <c r="K15" s="5"/>
      <c r="L15" s="5">
        <f>Таблица1[[#This Row],[Купон]]*Таблица1[[#This Row],[Январь]]*Таблица1[[#This Row],[Количество]]</f>
        <v>0</v>
      </c>
      <c r="M15" s="5"/>
      <c r="N15" s="5">
        <f>Таблица1[[#This Row],[Купон]]*Таблица1[[#This Row],[Февраль]]*Таблица1[[#This Row],[Количество]]</f>
        <v>0</v>
      </c>
      <c r="O15" s="5"/>
      <c r="P15" s="5">
        <f>Таблица1[[#This Row],[Купон]]*Таблица1[[#This Row],[Март]]*Таблица1[[#This Row],[Количество]]</f>
        <v>0</v>
      </c>
      <c r="Q15" s="5">
        <v>1</v>
      </c>
      <c r="R15" s="5">
        <f>Таблица1[[#This Row],[Купон]]*Таблица1[[#This Row],[Апрель]]*Таблица1[[#This Row],[Количество]]</f>
        <v>39.64</v>
      </c>
      <c r="S15" s="5"/>
      <c r="T15" s="5">
        <f>Таблица1[[#This Row],[Купон]]*Таблица1[[#This Row],[Май]]*Таблица1[[#This Row],[Количество]]</f>
        <v>0</v>
      </c>
      <c r="U15" s="5"/>
      <c r="V15" s="5">
        <f>Таблица1[[#This Row],[Июнь]]*Таблица1[[#This Row],[Купон]]*Таблица1[[#This Row],[Количество]]</f>
        <v>0</v>
      </c>
      <c r="W15" s="5"/>
      <c r="X15" s="5">
        <f>Таблица1[[#This Row],[Купон]]*Таблица1[[#This Row],[Июль]]*Таблица1[[#This Row],[Количество]]</f>
        <v>0</v>
      </c>
      <c r="Y15" s="5"/>
      <c r="Z15" s="5">
        <f>Таблица1[[#This Row],[Купон]]*Таблица1[[#This Row],[Август]]*Таблица1[[#This Row],[Количество]]</f>
        <v>0</v>
      </c>
      <c r="AA15" s="5"/>
      <c r="AB15" s="5">
        <f>Таблица1[[#This Row],[Купон]]*Таблица1[[#This Row],[Сентябрь]]*Таблица1[[#This Row],[Количество]]</f>
        <v>0</v>
      </c>
      <c r="AC15" s="5">
        <v>1</v>
      </c>
      <c r="AD15" s="5">
        <f>Таблица1[[#This Row],[Купон]]*Таблица1[[#This Row],[Октябрь]]*Таблица1[[#This Row],[Количество]]</f>
        <v>39.64</v>
      </c>
      <c r="AE15" s="5"/>
      <c r="AF15" s="5">
        <f>Таблица1[[#This Row],[Купон]]*Таблица1[[#This Row],[Ноябрь]]*Таблица1[[#This Row],[Количество]]</f>
        <v>0</v>
      </c>
      <c r="AG15" s="5"/>
      <c r="AH15" s="5">
        <f>Таблица1[[#This Row],[Купон]]*Таблица1[[#This Row],[Декабрь]]*Таблица1[[#This Row],[Количество]]</f>
        <v>0</v>
      </c>
      <c r="AI15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79.28</v>
      </c>
    </row>
    <row r="16" spans="1:35" x14ac:dyDescent="0.25">
      <c r="A16" s="5" t="s">
        <v>35</v>
      </c>
      <c r="B16" s="5" t="s">
        <v>58</v>
      </c>
      <c r="C16" s="5" t="s">
        <v>120</v>
      </c>
      <c r="D16" s="5">
        <v>929.36</v>
      </c>
      <c r="E16" s="5">
        <v>35.65</v>
      </c>
      <c r="F16" s="6">
        <f t="shared" si="0"/>
        <v>3.8359731428079538E-2</v>
      </c>
      <c r="G16" s="41">
        <v>8</v>
      </c>
      <c r="H16" s="5">
        <f>VLOOKUP(Таблица1[[#This Row],[Идентификатор]],Купоны[],2,0)</f>
        <v>2036</v>
      </c>
      <c r="I16" s="5">
        <f>VLOOKUP(Таблица1[[#This Row],[Идентификатор]],Купоны[],3,0)</f>
        <v>2</v>
      </c>
      <c r="J16" s="5">
        <f t="shared" si="1"/>
        <v>7434.88</v>
      </c>
      <c r="K16" s="5"/>
      <c r="L16" s="5">
        <f>Таблица1[[#This Row],[Купон]]*Таблица1[[#This Row],[Январь]]*Таблица1[[#This Row],[Количество]]</f>
        <v>0</v>
      </c>
      <c r="M16" s="5"/>
      <c r="N16" s="5">
        <f>Таблица1[[#This Row],[Купон]]*Таблица1[[#This Row],[Февраль]]*Таблица1[[#This Row],[Количество]]</f>
        <v>0</v>
      </c>
      <c r="O16" s="5"/>
      <c r="P16" s="5">
        <f>Таблица1[[#This Row],[Купон]]*Таблица1[[#This Row],[Март]]*Таблица1[[#This Row],[Количество]]</f>
        <v>0</v>
      </c>
      <c r="Q16" s="5"/>
      <c r="R16" s="5">
        <f>Таблица1[[#This Row],[Купон]]*Таблица1[[#This Row],[Апрель]]*Таблица1[[#This Row],[Количество]]</f>
        <v>0</v>
      </c>
      <c r="S16" s="5">
        <v>1</v>
      </c>
      <c r="T16" s="5">
        <f>Таблица1[[#This Row],[Купон]]*Таблица1[[#This Row],[Май]]*Таблица1[[#This Row],[Количество]]</f>
        <v>285.2</v>
      </c>
      <c r="U16" s="5"/>
      <c r="V16" s="5">
        <f>Таблица1[[#This Row],[Июнь]]*Таблица1[[#This Row],[Купон]]*Таблица1[[#This Row],[Количество]]</f>
        <v>0</v>
      </c>
      <c r="W16" s="5"/>
      <c r="X16" s="5">
        <f>Таблица1[[#This Row],[Купон]]*Таблица1[[#This Row],[Июль]]*Таблица1[[#This Row],[Количество]]</f>
        <v>0</v>
      </c>
      <c r="Y16" s="5"/>
      <c r="Z16" s="5">
        <f>Таблица1[[#This Row],[Купон]]*Таблица1[[#This Row],[Август]]*Таблица1[[#This Row],[Количество]]</f>
        <v>0</v>
      </c>
      <c r="AA16" s="5"/>
      <c r="AB16" s="5">
        <f>Таблица1[[#This Row],[Купон]]*Таблица1[[#This Row],[Сентябрь]]*Таблица1[[#This Row],[Количество]]</f>
        <v>0</v>
      </c>
      <c r="AC16" s="5"/>
      <c r="AD16" s="5">
        <f>Таблица1[[#This Row],[Купон]]*Таблица1[[#This Row],[Октябрь]]*Таблица1[[#This Row],[Количество]]</f>
        <v>0</v>
      </c>
      <c r="AE16" s="5">
        <v>1</v>
      </c>
      <c r="AF16" s="5">
        <f>Таблица1[[#This Row],[Купон]]*Таблица1[[#This Row],[Ноябрь]]*Таблица1[[#This Row],[Количество]]</f>
        <v>285.2</v>
      </c>
      <c r="AG16" s="5"/>
      <c r="AH16" s="5">
        <f>Таблица1[[#This Row],[Купон]]*Таблица1[[#This Row],[Декабрь]]*Таблица1[[#This Row],[Количество]]</f>
        <v>0</v>
      </c>
      <c r="AI16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570.4</v>
      </c>
    </row>
    <row r="17" spans="1:35" x14ac:dyDescent="0.25">
      <c r="A17" s="5" t="s">
        <v>36</v>
      </c>
      <c r="B17" s="5" t="s">
        <v>60</v>
      </c>
      <c r="C17" s="5" t="s">
        <v>120</v>
      </c>
      <c r="D17" s="5">
        <v>788.28</v>
      </c>
      <c r="E17" s="5">
        <v>29.92</v>
      </c>
      <c r="F17" s="6">
        <f t="shared" si="0"/>
        <v>3.7956056223676871E-2</v>
      </c>
      <c r="G17" s="41">
        <v>2</v>
      </c>
      <c r="H17" s="5">
        <f>VLOOKUP(Таблица1[[#This Row],[Идентификатор]],Купоны[],2,0)</f>
        <v>2028</v>
      </c>
      <c r="I17" s="5">
        <f>VLOOKUP(Таблица1[[#This Row],[Идентификатор]],Купоны[],3,0)</f>
        <v>2</v>
      </c>
      <c r="J17" s="5">
        <f t="shared" si="1"/>
        <v>1576.56</v>
      </c>
      <c r="K17" s="5"/>
      <c r="L17" s="5">
        <f>Таблица1[[#This Row],[Купон]]*Таблица1[[#This Row],[Январь]]*Таблица1[[#This Row],[Количество]]</f>
        <v>0</v>
      </c>
      <c r="M17" s="5"/>
      <c r="N17" s="5">
        <f>Таблица1[[#This Row],[Купон]]*Таблица1[[#This Row],[Февраль]]*Таблица1[[#This Row],[Количество]]</f>
        <v>0</v>
      </c>
      <c r="O17" s="5"/>
      <c r="P17" s="5">
        <f>Таблица1[[#This Row],[Купон]]*Таблица1[[#This Row],[Март]]*Таблица1[[#This Row],[Количество]]</f>
        <v>0</v>
      </c>
      <c r="Q17" s="5">
        <v>1</v>
      </c>
      <c r="R17" s="5">
        <f>Таблица1[[#This Row],[Купон]]*Таблица1[[#This Row],[Апрель]]*Таблица1[[#This Row],[Количество]]</f>
        <v>59.84</v>
      </c>
      <c r="S17" s="5"/>
      <c r="T17" s="5">
        <f>Таблица1[[#This Row],[Купон]]*Таблица1[[#This Row],[Май]]*Таблица1[[#This Row],[Количество]]</f>
        <v>0</v>
      </c>
      <c r="U17" s="5"/>
      <c r="V17" s="5">
        <f>Таблица1[[#This Row],[Июнь]]*Таблица1[[#This Row],[Купон]]*Таблица1[[#This Row],[Количество]]</f>
        <v>0</v>
      </c>
      <c r="W17" s="5"/>
      <c r="X17" s="5">
        <f>Таблица1[[#This Row],[Купон]]*Таблица1[[#This Row],[Июль]]*Таблица1[[#This Row],[Количество]]</f>
        <v>0</v>
      </c>
      <c r="Y17" s="5"/>
      <c r="Z17" s="5">
        <f>Таблица1[[#This Row],[Купон]]*Таблица1[[#This Row],[Август]]*Таблица1[[#This Row],[Количество]]</f>
        <v>0</v>
      </c>
      <c r="AA17" s="5"/>
      <c r="AB17" s="5">
        <f>Таблица1[[#This Row],[Купон]]*Таблица1[[#This Row],[Сентябрь]]*Таблица1[[#This Row],[Количество]]</f>
        <v>0</v>
      </c>
      <c r="AC17" s="5">
        <v>1</v>
      </c>
      <c r="AD17" s="5">
        <f>Таблица1[[#This Row],[Купон]]*Таблица1[[#This Row],[Октябрь]]*Таблица1[[#This Row],[Количество]]</f>
        <v>59.84</v>
      </c>
      <c r="AE17" s="5"/>
      <c r="AF17" s="5">
        <f>Таблица1[[#This Row],[Купон]]*Таблица1[[#This Row],[Ноябрь]]*Таблица1[[#This Row],[Количество]]</f>
        <v>0</v>
      </c>
      <c r="AG17" s="5"/>
      <c r="AH17" s="5">
        <f>Таблица1[[#This Row],[Купон]]*Таблица1[[#This Row],[Декабрь]]*Таблица1[[#This Row],[Количество]]</f>
        <v>0</v>
      </c>
      <c r="AI17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119.68</v>
      </c>
    </row>
    <row r="18" spans="1:35" x14ac:dyDescent="0.25">
      <c r="A18" s="5" t="s">
        <v>38</v>
      </c>
      <c r="B18" s="5" t="s">
        <v>56</v>
      </c>
      <c r="C18" s="5" t="s">
        <v>120</v>
      </c>
      <c r="D18" s="5">
        <v>697.74</v>
      </c>
      <c r="E18" s="5">
        <v>48.87</v>
      </c>
      <c r="F18" s="6">
        <f t="shared" si="0"/>
        <v>7.0040416200877115E-2</v>
      </c>
      <c r="G18" s="41">
        <v>2</v>
      </c>
      <c r="H18" s="5">
        <f>VLOOKUP(Таблица1[[#This Row],[Идентификатор]],Купоны[],2,0)</f>
        <v>2028</v>
      </c>
      <c r="I18" s="5">
        <f>VLOOKUP(Таблица1[[#This Row],[Идентификатор]],Купоны[],3,0)</f>
        <v>2</v>
      </c>
      <c r="J18" s="5">
        <f t="shared" si="1"/>
        <v>1395.48</v>
      </c>
      <c r="K18" s="5"/>
      <c r="L18" s="5">
        <f>Таблица1[[#This Row],[Купон]]*Таблица1[[#This Row],[Январь]]*Таблица1[[#This Row],[Количество]]</f>
        <v>0</v>
      </c>
      <c r="M18" s="5"/>
      <c r="N18" s="5">
        <f>Таблица1[[#This Row],[Купон]]*Таблица1[[#This Row],[Февраль]]*Таблица1[[#This Row],[Количество]]</f>
        <v>0</v>
      </c>
      <c r="O18" s="5"/>
      <c r="P18" s="5">
        <f>Таблица1[[#This Row],[Купон]]*Таблица1[[#This Row],[Март]]*Таблица1[[#This Row],[Количество]]</f>
        <v>0</v>
      </c>
      <c r="Q18" s="5"/>
      <c r="R18" s="5">
        <f>Таблица1[[#This Row],[Купон]]*Таблица1[[#This Row],[Апрель]]*Таблица1[[#This Row],[Количество]]</f>
        <v>0</v>
      </c>
      <c r="S18" s="5"/>
      <c r="T18" s="5">
        <f>Таблица1[[#This Row],[Купон]]*Таблица1[[#This Row],[Май]]*Таблица1[[#This Row],[Количество]]</f>
        <v>0</v>
      </c>
      <c r="U18" s="5">
        <v>1</v>
      </c>
      <c r="V18" s="5">
        <f>Таблица1[[#This Row],[Июнь]]*Таблица1[[#This Row],[Купон]]*Таблица1[[#This Row],[Количество]]</f>
        <v>97.74</v>
      </c>
      <c r="W18" s="5"/>
      <c r="X18" s="5">
        <f>Таблица1[[#This Row],[Купон]]*Таблица1[[#This Row],[Июль]]*Таблица1[[#This Row],[Количество]]</f>
        <v>0</v>
      </c>
      <c r="Y18" s="5"/>
      <c r="Z18" s="5">
        <f>Таблица1[[#This Row],[Купон]]*Таблица1[[#This Row],[Август]]*Таблица1[[#This Row],[Количество]]</f>
        <v>0</v>
      </c>
      <c r="AA18" s="5"/>
      <c r="AB18" s="5">
        <f>Таблица1[[#This Row],[Купон]]*Таблица1[[#This Row],[Сентябрь]]*Таблица1[[#This Row],[Количество]]</f>
        <v>0</v>
      </c>
      <c r="AC18" s="5"/>
      <c r="AD18" s="5">
        <f>Таблица1[[#This Row],[Купон]]*Таблица1[[#This Row],[Октябрь]]*Таблица1[[#This Row],[Количество]]</f>
        <v>0</v>
      </c>
      <c r="AE18" s="5"/>
      <c r="AF18" s="5">
        <f>Таблица1[[#This Row],[Купон]]*Таблица1[[#This Row],[Ноябрь]]*Таблица1[[#This Row],[Количество]]</f>
        <v>0</v>
      </c>
      <c r="AG18" s="5">
        <v>1</v>
      </c>
      <c r="AH18" s="5">
        <f>Таблица1[[#This Row],[Купон]]*Таблица1[[#This Row],[Декабрь]]*Таблица1[[#This Row],[Количество]]</f>
        <v>97.74</v>
      </c>
      <c r="AI18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195.48</v>
      </c>
    </row>
    <row r="19" spans="1:35" x14ac:dyDescent="0.25">
      <c r="A19" s="5" t="s">
        <v>39</v>
      </c>
      <c r="B19" s="5" t="s">
        <v>54</v>
      </c>
      <c r="C19" s="5" t="s">
        <v>120</v>
      </c>
      <c r="D19" s="5">
        <v>998.53</v>
      </c>
      <c r="E19" s="5">
        <v>42.34</v>
      </c>
      <c r="F19" s="6">
        <f t="shared" si="0"/>
        <v>4.2402331427197987E-2</v>
      </c>
      <c r="G19" s="41">
        <v>1</v>
      </c>
      <c r="H19" s="5">
        <f>VLOOKUP(Таблица1[[#This Row],[Идентификатор]],Купоны[],2,0)</f>
        <v>2034</v>
      </c>
      <c r="I19" s="5">
        <f>VLOOKUP(Таблица1[[#This Row],[Идентификатор]],Купоны[],3,0)</f>
        <v>2</v>
      </c>
      <c r="J19" s="5">
        <f t="shared" si="1"/>
        <v>998.53</v>
      </c>
      <c r="K19" s="5"/>
      <c r="L19" s="5">
        <f>Таблица1[[#This Row],[Купон]]*Таблица1[[#This Row],[Январь]]*Таблица1[[#This Row],[Количество]]</f>
        <v>0</v>
      </c>
      <c r="M19" s="5"/>
      <c r="N19" s="5">
        <f>Таблица1[[#This Row],[Купон]]*Таблица1[[#This Row],[Февраль]]*Таблица1[[#This Row],[Количество]]</f>
        <v>0</v>
      </c>
      <c r="O19" s="5">
        <v>1</v>
      </c>
      <c r="P19" s="5">
        <f>Таблица1[[#This Row],[Купон]]*Таблица1[[#This Row],[Март]]*Таблица1[[#This Row],[Количество]]</f>
        <v>42.34</v>
      </c>
      <c r="Q19" s="5"/>
      <c r="R19" s="5">
        <f>Таблица1[[#This Row],[Купон]]*Таблица1[[#This Row],[Апрель]]*Таблица1[[#This Row],[Количество]]</f>
        <v>0</v>
      </c>
      <c r="S19" s="5"/>
      <c r="T19" s="5">
        <f>Таблица1[[#This Row],[Купон]]*Таблица1[[#This Row],[Май]]*Таблица1[[#This Row],[Количество]]</f>
        <v>0</v>
      </c>
      <c r="U19" s="5">
        <v>1</v>
      </c>
      <c r="V19" s="5">
        <f>Таблица1[[#This Row],[Июнь]]*Таблица1[[#This Row],[Купон]]*Таблица1[[#This Row],[Количество]]</f>
        <v>42.34</v>
      </c>
      <c r="W19" s="5"/>
      <c r="X19" s="5">
        <f>Таблица1[[#This Row],[Купон]]*Таблица1[[#This Row],[Июль]]*Таблица1[[#This Row],[Количество]]</f>
        <v>0</v>
      </c>
      <c r="Y19" s="5"/>
      <c r="Z19" s="5">
        <f>Таблица1[[#This Row],[Купон]]*Таблица1[[#This Row],[Август]]*Таблица1[[#This Row],[Количество]]</f>
        <v>0</v>
      </c>
      <c r="AA19" s="5">
        <v>1</v>
      </c>
      <c r="AB19" s="5">
        <f>Таблица1[[#This Row],[Купон]]*Таблица1[[#This Row],[Сентябрь]]*Таблица1[[#This Row],[Количество]]</f>
        <v>42.34</v>
      </c>
      <c r="AC19" s="5"/>
      <c r="AD19" s="5">
        <f>Таблица1[[#This Row],[Купон]]*Таблица1[[#This Row],[Октябрь]]*Таблица1[[#This Row],[Количество]]</f>
        <v>0</v>
      </c>
      <c r="AE19" s="5"/>
      <c r="AF19" s="5">
        <f>Таблица1[[#This Row],[Купон]]*Таблица1[[#This Row],[Ноябрь]]*Таблица1[[#This Row],[Количество]]</f>
        <v>0</v>
      </c>
      <c r="AG19" s="5">
        <v>1</v>
      </c>
      <c r="AH19" s="5">
        <f>Таблица1[[#This Row],[Купон]]*Таблица1[[#This Row],[Декабрь]]*Таблица1[[#This Row],[Количество]]</f>
        <v>42.34</v>
      </c>
      <c r="AI19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169.36</v>
      </c>
    </row>
    <row r="20" spans="1:35" x14ac:dyDescent="0.25">
      <c r="A20" s="5" t="s">
        <v>40</v>
      </c>
      <c r="B20" s="5" t="s">
        <v>61</v>
      </c>
      <c r="C20" s="5" t="s">
        <v>120</v>
      </c>
      <c r="D20" s="5">
        <v>993.6</v>
      </c>
      <c r="E20" s="5">
        <v>42.4</v>
      </c>
      <c r="F20" s="6">
        <f t="shared" si="0"/>
        <v>4.267310789049919E-2</v>
      </c>
      <c r="G20" s="41">
        <v>1</v>
      </c>
      <c r="H20" s="5">
        <f>VLOOKUP(Таблица1[[#This Row],[Идентификатор]],Купоны[],2,0)</f>
        <v>2035</v>
      </c>
      <c r="I20" s="5">
        <f>VLOOKUP(Таблица1[[#This Row],[Идентификатор]],Купоны[],3,0)</f>
        <v>2</v>
      </c>
      <c r="J20" s="5">
        <f t="shared" si="1"/>
        <v>993.6</v>
      </c>
      <c r="K20" s="5"/>
      <c r="L20" s="5">
        <f>Таблица1[[#This Row],[Купон]]*Таблица1[[#This Row],[Январь]]*Таблица1[[#This Row],[Количество]]</f>
        <v>0</v>
      </c>
      <c r="M20" s="5"/>
      <c r="N20" s="5">
        <f>Таблица1[[#This Row],[Купон]]*Таблица1[[#This Row],[Февраль]]*Таблица1[[#This Row],[Количество]]</f>
        <v>0</v>
      </c>
      <c r="O20" s="5">
        <v>1</v>
      </c>
      <c r="P20" s="5">
        <f>Таблица1[[#This Row],[Купон]]*Таблица1[[#This Row],[Март]]*Таблица1[[#This Row],[Количество]]</f>
        <v>42.4</v>
      </c>
      <c r="Q20" s="5"/>
      <c r="R20" s="5">
        <f>Таблица1[[#This Row],[Купон]]*Таблица1[[#This Row],[Апрель]]*Таблица1[[#This Row],[Количество]]</f>
        <v>0</v>
      </c>
      <c r="S20" s="5"/>
      <c r="T20" s="5">
        <f>Таблица1[[#This Row],[Купон]]*Таблица1[[#This Row],[Май]]*Таблица1[[#This Row],[Количество]]</f>
        <v>0</v>
      </c>
      <c r="U20" s="5">
        <v>1</v>
      </c>
      <c r="V20" s="5">
        <f>Таблица1[[#This Row],[Июнь]]*Таблица1[[#This Row],[Купон]]*Таблица1[[#This Row],[Количество]]</f>
        <v>42.4</v>
      </c>
      <c r="W20" s="5"/>
      <c r="X20" s="5">
        <f>Таблица1[[#This Row],[Купон]]*Таблица1[[#This Row],[Июль]]*Таблица1[[#This Row],[Количество]]</f>
        <v>0</v>
      </c>
      <c r="Y20" s="5"/>
      <c r="Z20" s="5">
        <f>Таблица1[[#This Row],[Купон]]*Таблица1[[#This Row],[Август]]*Таблица1[[#This Row],[Количество]]</f>
        <v>0</v>
      </c>
      <c r="AA20" s="5">
        <v>1</v>
      </c>
      <c r="AB20" s="5">
        <f>Таблица1[[#This Row],[Купон]]*Таблица1[[#This Row],[Сентябрь]]*Таблица1[[#This Row],[Количество]]</f>
        <v>42.4</v>
      </c>
      <c r="AC20" s="5"/>
      <c r="AD20" s="5">
        <f>Таблица1[[#This Row],[Купон]]*Таблица1[[#This Row],[Октябрь]]*Таблица1[[#This Row],[Количество]]</f>
        <v>0</v>
      </c>
      <c r="AE20" s="5"/>
      <c r="AF20" s="5">
        <f>Таблица1[[#This Row],[Купон]]*Таблица1[[#This Row],[Ноябрь]]*Таблица1[[#This Row],[Количество]]</f>
        <v>0</v>
      </c>
      <c r="AG20" s="5">
        <v>1</v>
      </c>
      <c r="AH20" s="5">
        <f>Таблица1[[#This Row],[Купон]]*Таблица1[[#This Row],[Декабрь]]*Таблица1[[#This Row],[Количество]]</f>
        <v>42.4</v>
      </c>
      <c r="AI20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169.6</v>
      </c>
    </row>
    <row r="21" spans="1:35" x14ac:dyDescent="0.25">
      <c r="A21" s="5" t="s">
        <v>41</v>
      </c>
      <c r="B21" s="5" t="s">
        <v>52</v>
      </c>
      <c r="C21" s="5" t="s">
        <v>120</v>
      </c>
      <c r="D21" s="5">
        <v>976.69</v>
      </c>
      <c r="E21" s="5">
        <v>39.450000000000003</v>
      </c>
      <c r="F21" s="6">
        <f t="shared" si="0"/>
        <v>4.0391526482302473E-2</v>
      </c>
      <c r="G21" s="41">
        <v>8</v>
      </c>
      <c r="H21" s="5">
        <f>VLOOKUP(Таблица1[[#This Row],[Идентификатор]],Купоны[],2,0)</f>
        <v>2036</v>
      </c>
      <c r="I21" s="5">
        <f>VLOOKUP(Таблица1[[#This Row],[Идентификатор]],Купоны[],3,0)</f>
        <v>2</v>
      </c>
      <c r="J21" s="5">
        <f t="shared" si="1"/>
        <v>7813.52</v>
      </c>
      <c r="K21" s="5">
        <v>1</v>
      </c>
      <c r="L21" s="5">
        <f>Таблица1[[#This Row],[Купон]]*Таблица1[[#This Row],[Январь]]*Таблица1[[#This Row],[Количество]]</f>
        <v>315.60000000000002</v>
      </c>
      <c r="M21" s="5"/>
      <c r="N21" s="5">
        <f>Таблица1[[#This Row],[Купон]]*Таблица1[[#This Row],[Февраль]]*Таблица1[[#This Row],[Количество]]</f>
        <v>0</v>
      </c>
      <c r="O21" s="5"/>
      <c r="P21" s="5">
        <f>Таблица1[[#This Row],[Купон]]*Таблица1[[#This Row],[Март]]*Таблица1[[#This Row],[Количество]]</f>
        <v>0</v>
      </c>
      <c r="Q21" s="5"/>
      <c r="R21" s="5">
        <f>Таблица1[[#This Row],[Купон]]*Таблица1[[#This Row],[Апрель]]*Таблица1[[#This Row],[Количество]]</f>
        <v>0</v>
      </c>
      <c r="S21" s="5">
        <v>1</v>
      </c>
      <c r="T21" s="5">
        <f>Таблица1[[#This Row],[Купон]]*Таблица1[[#This Row],[Май]]*Таблица1[[#This Row],[Количество]]</f>
        <v>315.60000000000002</v>
      </c>
      <c r="U21" s="5"/>
      <c r="V21" s="5">
        <f>Таблица1[[#This Row],[Июнь]]*Таблица1[[#This Row],[Купон]]*Таблица1[[#This Row],[Количество]]</f>
        <v>0</v>
      </c>
      <c r="W21" s="5">
        <v>1</v>
      </c>
      <c r="X21" s="5">
        <f>Таблица1[[#This Row],[Купон]]*Таблица1[[#This Row],[Июль]]*Таблица1[[#This Row],[Количество]]</f>
        <v>315.60000000000002</v>
      </c>
      <c r="Y21" s="5"/>
      <c r="Z21" s="5">
        <f>Таблица1[[#This Row],[Купон]]*Таблица1[[#This Row],[Август]]*Таблица1[[#This Row],[Количество]]</f>
        <v>0</v>
      </c>
      <c r="AA21" s="5"/>
      <c r="AB21" s="5">
        <f>Таблица1[[#This Row],[Купон]]*Таблица1[[#This Row],[Сентябрь]]*Таблица1[[#This Row],[Количество]]</f>
        <v>0</v>
      </c>
      <c r="AC21" s="5">
        <v>1</v>
      </c>
      <c r="AD21" s="5">
        <f>Таблица1[[#This Row],[Купон]]*Таблица1[[#This Row],[Октябрь]]*Таблица1[[#This Row],[Количество]]</f>
        <v>315.60000000000002</v>
      </c>
      <c r="AE21" s="5"/>
      <c r="AF21" s="5">
        <f>Таблица1[[#This Row],[Купон]]*Таблица1[[#This Row],[Ноябрь]]*Таблица1[[#This Row],[Количество]]</f>
        <v>0</v>
      </c>
      <c r="AG21" s="5"/>
      <c r="AH21" s="5">
        <f>Таблица1[[#This Row],[Купон]]*Таблица1[[#This Row],[Декабрь]]*Таблица1[[#This Row],[Количество]]</f>
        <v>0</v>
      </c>
      <c r="AI21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1262.4000000000001</v>
      </c>
    </row>
    <row r="22" spans="1:35" x14ac:dyDescent="0.25">
      <c r="A22" s="5" t="s">
        <v>42</v>
      </c>
      <c r="B22" s="5" t="s">
        <v>62</v>
      </c>
      <c r="C22" s="5" t="s">
        <v>120</v>
      </c>
      <c r="D22" s="5">
        <v>942.52</v>
      </c>
      <c r="E22" s="5">
        <v>40.39</v>
      </c>
      <c r="F22" s="6">
        <f t="shared" si="0"/>
        <v>4.285320205406782E-2</v>
      </c>
      <c r="G22" s="41">
        <v>1</v>
      </c>
      <c r="H22" s="5">
        <f>VLOOKUP(Таблица1[[#This Row],[Идентификатор]],Купоны[],2,0)</f>
        <v>2036</v>
      </c>
      <c r="I22" s="5">
        <f>VLOOKUP(Таблица1[[#This Row],[Идентификатор]],Купоны[],3,0)</f>
        <v>2</v>
      </c>
      <c r="J22" s="5">
        <f t="shared" si="1"/>
        <v>942.52</v>
      </c>
      <c r="K22" s="5"/>
      <c r="L22" s="5">
        <f>Таблица1[[#This Row],[Купон]]*Таблица1[[#This Row],[Январь]]*Таблица1[[#This Row],[Количество]]</f>
        <v>0</v>
      </c>
      <c r="M22" s="5">
        <v>1</v>
      </c>
      <c r="N22" s="5">
        <f>Таблица1[[#This Row],[Купон]]*Таблица1[[#This Row],[Февраль]]*Таблица1[[#This Row],[Количество]]</f>
        <v>40.39</v>
      </c>
      <c r="O22" s="5"/>
      <c r="P22" s="5">
        <f>Таблица1[[#This Row],[Купон]]*Таблица1[[#This Row],[Март]]*Таблица1[[#This Row],[Количество]]</f>
        <v>0</v>
      </c>
      <c r="Q22" s="5"/>
      <c r="R22" s="5">
        <f>Таблица1[[#This Row],[Купон]]*Таблица1[[#This Row],[Апрель]]*Таблица1[[#This Row],[Количество]]</f>
        <v>0</v>
      </c>
      <c r="S22" s="5">
        <v>1</v>
      </c>
      <c r="T22" s="5">
        <f>Таблица1[[#This Row],[Купон]]*Таблица1[[#This Row],[Май]]*Таблица1[[#This Row],[Количество]]</f>
        <v>40.39</v>
      </c>
      <c r="U22" s="5"/>
      <c r="V22" s="5">
        <f>Таблица1[[#This Row],[Июнь]]*Таблица1[[#This Row],[Купон]]*Таблица1[[#This Row],[Количество]]</f>
        <v>0</v>
      </c>
      <c r="W22" s="5"/>
      <c r="X22" s="5">
        <f>Таблица1[[#This Row],[Купон]]*Таблица1[[#This Row],[Июль]]*Таблица1[[#This Row],[Количество]]</f>
        <v>0</v>
      </c>
      <c r="Y22" s="5">
        <v>1</v>
      </c>
      <c r="Z22" s="5">
        <f>Таблица1[[#This Row],[Купон]]*Таблица1[[#This Row],[Август]]*Таблица1[[#This Row],[Количество]]</f>
        <v>40.39</v>
      </c>
      <c r="AA22" s="5"/>
      <c r="AB22" s="5">
        <f>Таблица1[[#This Row],[Купон]]*Таблица1[[#This Row],[Сентябрь]]*Таблица1[[#This Row],[Количество]]</f>
        <v>0</v>
      </c>
      <c r="AC22" s="5"/>
      <c r="AD22" s="5">
        <f>Таблица1[[#This Row],[Купон]]*Таблица1[[#This Row],[Октябрь]]*Таблица1[[#This Row],[Количество]]</f>
        <v>0</v>
      </c>
      <c r="AE22" s="5">
        <v>1</v>
      </c>
      <c r="AF22" s="5">
        <f>Таблица1[[#This Row],[Купон]]*Таблица1[[#This Row],[Ноябрь]]*Таблица1[[#This Row],[Количество]]</f>
        <v>40.39</v>
      </c>
      <c r="AG22" s="5"/>
      <c r="AH22" s="5">
        <f>Таблица1[[#This Row],[Купон]]*Таблица1[[#This Row],[Декабрь]]*Таблица1[[#This Row],[Количество]]</f>
        <v>0</v>
      </c>
      <c r="AI22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161.56</v>
      </c>
    </row>
    <row r="23" spans="1:35" x14ac:dyDescent="0.25">
      <c r="A23" s="5" t="s">
        <v>43</v>
      </c>
      <c r="B23" s="5" t="s">
        <v>64</v>
      </c>
      <c r="C23" s="5" t="s">
        <v>121</v>
      </c>
      <c r="D23" s="5">
        <v>964.3</v>
      </c>
      <c r="E23" s="5">
        <v>16.600000000000001</v>
      </c>
      <c r="F23" s="6">
        <f t="shared" si="0"/>
        <v>1.7214559784299494E-2</v>
      </c>
      <c r="G23" s="41">
        <v>1</v>
      </c>
      <c r="H23" s="5">
        <f>VLOOKUP(Таблица1[[#This Row],[Идентификатор]],Купоны[],2,0)</f>
        <v>2026</v>
      </c>
      <c r="I23" s="5">
        <f>VLOOKUP(Таблица1[[#This Row],[Идентификатор]],Купоны[],3,0)</f>
        <v>12</v>
      </c>
      <c r="J23" s="5">
        <f t="shared" si="1"/>
        <v>964.3</v>
      </c>
      <c r="K23" s="5">
        <v>1</v>
      </c>
      <c r="L23" s="5">
        <f>Таблица1[[#This Row],[Купон]]*Таблица1[[#This Row],[Январь]]*Таблица1[[#This Row],[Количество]]</f>
        <v>16.600000000000001</v>
      </c>
      <c r="M23" s="5">
        <v>1</v>
      </c>
      <c r="N23" s="5">
        <f>Таблица1[[#This Row],[Купон]]*Таблица1[[#This Row],[Февраль]]*Таблица1[[#This Row],[Количество]]</f>
        <v>16.600000000000001</v>
      </c>
      <c r="O23" s="5">
        <v>1</v>
      </c>
      <c r="P23" s="5">
        <f>Таблица1[[#This Row],[Купон]]*Таблица1[[#This Row],[Март]]*Таблица1[[#This Row],[Количество]]</f>
        <v>16.600000000000001</v>
      </c>
      <c r="Q23" s="5">
        <v>1</v>
      </c>
      <c r="R23" s="5">
        <f>Таблица1[[#This Row],[Купон]]*Таблица1[[#This Row],[Апрель]]*Таблица1[[#This Row],[Количество]]</f>
        <v>16.600000000000001</v>
      </c>
      <c r="S23" s="5">
        <v>1</v>
      </c>
      <c r="T23" s="5">
        <f>Таблица1[[#This Row],[Купон]]*Таблица1[[#This Row],[Май]]*Таблица1[[#This Row],[Количество]]</f>
        <v>16.600000000000001</v>
      </c>
      <c r="U23" s="5">
        <v>1</v>
      </c>
      <c r="V23" s="5">
        <f>Таблица1[[#This Row],[Июнь]]*Таблица1[[#This Row],[Купон]]*Таблица1[[#This Row],[Количество]]</f>
        <v>16.600000000000001</v>
      </c>
      <c r="W23" s="5">
        <v>1</v>
      </c>
      <c r="X23" s="5">
        <f>Таблица1[[#This Row],[Купон]]*Таблица1[[#This Row],[Июль]]*Таблица1[[#This Row],[Количество]]</f>
        <v>16.600000000000001</v>
      </c>
      <c r="Y23" s="5">
        <v>1</v>
      </c>
      <c r="Z23" s="5">
        <f>Таблица1[[#This Row],[Купон]]*Таблица1[[#This Row],[Август]]*Таблица1[[#This Row],[Количество]]</f>
        <v>16.600000000000001</v>
      </c>
      <c r="AA23" s="5">
        <v>1</v>
      </c>
      <c r="AB23" s="5">
        <f>Таблица1[[#This Row],[Купон]]*Таблица1[[#This Row],[Сентябрь]]*Таблица1[[#This Row],[Количество]]</f>
        <v>16.600000000000001</v>
      </c>
      <c r="AC23" s="5">
        <v>1</v>
      </c>
      <c r="AD23" s="5">
        <f>Таблица1[[#This Row],[Купон]]*Таблица1[[#This Row],[Октябрь]]*Таблица1[[#This Row],[Количество]]</f>
        <v>16.600000000000001</v>
      </c>
      <c r="AE23" s="5">
        <v>1</v>
      </c>
      <c r="AF23" s="5">
        <f>Таблица1[[#This Row],[Купон]]*Таблица1[[#This Row],[Ноябрь]]*Таблица1[[#This Row],[Количество]]</f>
        <v>16.600000000000001</v>
      </c>
      <c r="AG23" s="5">
        <v>1</v>
      </c>
      <c r="AH23" s="5">
        <f>Таблица1[[#This Row],[Купон]]*Таблица1[[#This Row],[Декабрь]]*Таблица1[[#This Row],[Количество]]</f>
        <v>16.600000000000001</v>
      </c>
      <c r="AI23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199.19999999999996</v>
      </c>
    </row>
    <row r="24" spans="1:35" x14ac:dyDescent="0.25">
      <c r="A24" s="5" t="s">
        <v>44</v>
      </c>
      <c r="B24" s="5" t="s">
        <v>65</v>
      </c>
      <c r="C24" s="5" t="s">
        <v>121</v>
      </c>
      <c r="D24" s="5">
        <v>913.14</v>
      </c>
      <c r="E24" s="5">
        <v>46.87</v>
      </c>
      <c r="F24" s="6">
        <f t="shared" si="0"/>
        <v>5.1328383380423594E-2</v>
      </c>
      <c r="G24" s="41">
        <v>1</v>
      </c>
      <c r="H24" s="5">
        <f>VLOOKUP(Таблица1[[#This Row],[Идентификатор]],Купоны[],2,0)</f>
        <v>2028</v>
      </c>
      <c r="I24" s="5">
        <f>VLOOKUP(Таблица1[[#This Row],[Идентификатор]],Купоны[],3,0)</f>
        <v>4</v>
      </c>
      <c r="J24" s="5">
        <f t="shared" si="1"/>
        <v>913.14</v>
      </c>
      <c r="K24" s="5"/>
      <c r="L24" s="5">
        <f>Таблица1[[#This Row],[Купон]]*Таблица1[[#This Row],[Январь]]*Таблица1[[#This Row],[Количество]]</f>
        <v>0</v>
      </c>
      <c r="M24" s="5"/>
      <c r="N24" s="5">
        <f>Таблица1[[#This Row],[Купон]]*Таблица1[[#This Row],[Февраль]]*Таблица1[[#This Row],[Количество]]</f>
        <v>0</v>
      </c>
      <c r="O24" s="5"/>
      <c r="P24" s="5">
        <f>Таблица1[[#This Row],[Купон]]*Таблица1[[#This Row],[Март]]*Таблица1[[#This Row],[Количество]]</f>
        <v>0</v>
      </c>
      <c r="Q24" s="5">
        <v>1</v>
      </c>
      <c r="R24" s="5">
        <f>Таблица1[[#This Row],[Купон]]*Таблица1[[#This Row],[Апрель]]*Таблица1[[#This Row],[Количество]]</f>
        <v>46.87</v>
      </c>
      <c r="S24" s="5"/>
      <c r="T24" s="5">
        <f>Таблица1[[#This Row],[Купон]]*Таблица1[[#This Row],[Май]]*Таблица1[[#This Row],[Количество]]</f>
        <v>0</v>
      </c>
      <c r="U24" s="5"/>
      <c r="V24" s="5">
        <f>Таблица1[[#This Row],[Июнь]]*Таблица1[[#This Row],[Купон]]*Таблица1[[#This Row],[Количество]]</f>
        <v>0</v>
      </c>
      <c r="W24" s="5"/>
      <c r="X24" s="5">
        <f>Таблица1[[#This Row],[Купон]]*Таблица1[[#This Row],[Июль]]*Таблица1[[#This Row],[Количество]]</f>
        <v>0</v>
      </c>
      <c r="Y24" s="5"/>
      <c r="Z24" s="5">
        <f>Таблица1[[#This Row],[Купон]]*Таблица1[[#This Row],[Август]]*Таблица1[[#This Row],[Количество]]</f>
        <v>0</v>
      </c>
      <c r="AA24" s="5"/>
      <c r="AB24" s="5">
        <f>Таблица1[[#This Row],[Купон]]*Таблица1[[#This Row],[Сентябрь]]*Таблица1[[#This Row],[Количество]]</f>
        <v>0</v>
      </c>
      <c r="AC24" s="5">
        <v>1</v>
      </c>
      <c r="AD24" s="5">
        <f>Таблица1[[#This Row],[Купон]]*Таблица1[[#This Row],[Октябрь]]*Таблица1[[#This Row],[Количество]]</f>
        <v>46.87</v>
      </c>
      <c r="AE24" s="5"/>
      <c r="AF24" s="5">
        <f>Таблица1[[#This Row],[Купон]]*Таблица1[[#This Row],[Ноябрь]]*Таблица1[[#This Row],[Количество]]</f>
        <v>0</v>
      </c>
      <c r="AG24" s="5"/>
      <c r="AH24" s="5">
        <f>Таблица1[[#This Row],[Купон]]*Таблица1[[#This Row],[Декабрь]]*Таблица1[[#This Row],[Количество]]</f>
        <v>0</v>
      </c>
      <c r="AI24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93.74</v>
      </c>
    </row>
    <row r="25" spans="1:35" x14ac:dyDescent="0.25">
      <c r="A25" s="5" t="s">
        <v>45</v>
      </c>
      <c r="B25" s="5" t="s">
        <v>66</v>
      </c>
      <c r="C25" s="5" t="s">
        <v>122</v>
      </c>
      <c r="D25" s="5">
        <v>95.02</v>
      </c>
      <c r="E25" s="5">
        <v>1.66</v>
      </c>
      <c r="F25" s="6">
        <f t="shared" si="0"/>
        <v>1.7470006314460114E-2</v>
      </c>
      <c r="G25" s="5">
        <f>89+69+6*68+3*67</f>
        <v>767</v>
      </c>
      <c r="H25" s="5" t="e">
        <f>VLOOKUP(Таблица1[[#This Row],[Идентификатор]],Купоны[],2,0)</f>
        <v>#N/A</v>
      </c>
      <c r="I25" s="5" t="e">
        <f>VLOOKUP(Таблица1[[#This Row],[Идентификатор]],Купоны[],3,0)</f>
        <v>#N/A</v>
      </c>
      <c r="J25" s="5">
        <f t="shared" si="1"/>
        <v>72880.34</v>
      </c>
      <c r="K25" s="5">
        <v>1</v>
      </c>
      <c r="L25" s="5">
        <f>Таблица1[[#This Row],[Купон]]*Таблица1[[#This Row],[Январь]]*Таблица1[[#This Row],[Количество]]</f>
        <v>1273.22</v>
      </c>
      <c r="M25" s="5">
        <v>1</v>
      </c>
      <c r="N25" s="5">
        <f>Таблица1[[#This Row],[Купон]]*Таблица1[[#This Row],[Февраль]]*Таблица1[[#This Row],[Количество]]</f>
        <v>1273.22</v>
      </c>
      <c r="O25" s="5">
        <v>1</v>
      </c>
      <c r="P25" s="5">
        <f>Таблица1[[#This Row],[Купон]]*Таблица1[[#This Row],[Март]]*Таблица1[[#This Row],[Количество]]</f>
        <v>1273.22</v>
      </c>
      <c r="Q25" s="5">
        <v>1</v>
      </c>
      <c r="R25" s="5">
        <f>Таблица1[[#This Row],[Купон]]*Таблица1[[#This Row],[Апрель]]*Таблица1[[#This Row],[Количество]]</f>
        <v>1273.22</v>
      </c>
      <c r="S25" s="5">
        <v>1</v>
      </c>
      <c r="T25" s="5">
        <f>Таблица1[[#This Row],[Купон]]*Таблица1[[#This Row],[Май]]*Таблица1[[#This Row],[Количество]]</f>
        <v>1273.22</v>
      </c>
      <c r="U25" s="5">
        <v>1</v>
      </c>
      <c r="V25" s="5">
        <f>Таблица1[[#This Row],[Июнь]]*Таблица1[[#This Row],[Купон]]*Таблица1[[#This Row],[Количество]]</f>
        <v>1273.22</v>
      </c>
      <c r="W25" s="5">
        <v>1</v>
      </c>
      <c r="X25" s="5">
        <f>Таблица1[[#This Row],[Купон]]*Таблица1[[#This Row],[Июль]]*Таблица1[[#This Row],[Количество]]</f>
        <v>1273.22</v>
      </c>
      <c r="Y25" s="5">
        <v>1</v>
      </c>
      <c r="Z25" s="5">
        <f>Таблица1[[#This Row],[Купон]]*Таблица1[[#This Row],[Август]]*Таблица1[[#This Row],[Количество]]</f>
        <v>1273.22</v>
      </c>
      <c r="AA25" s="5">
        <v>1</v>
      </c>
      <c r="AB25" s="5">
        <f>Таблица1[[#This Row],[Купон]]*Таблица1[[#This Row],[Сентябрь]]*Таблица1[[#This Row],[Количество]]</f>
        <v>1273.22</v>
      </c>
      <c r="AC25" s="5">
        <v>1</v>
      </c>
      <c r="AD25" s="5">
        <f>Таблица1[[#This Row],[Купон]]*Таблица1[[#This Row],[Октябрь]]*Таблица1[[#This Row],[Количество]]</f>
        <v>1273.22</v>
      </c>
      <c r="AE25" s="5">
        <v>1</v>
      </c>
      <c r="AF25" s="5">
        <f>Таблица1[[#This Row],[Купон]]*Таблица1[[#This Row],[Ноябрь]]*Таблица1[[#This Row],[Количество]]</f>
        <v>1273.22</v>
      </c>
      <c r="AG25" s="5">
        <v>1</v>
      </c>
      <c r="AH25" s="5">
        <f>Таблица1[[#This Row],[Купон]]*Таблица1[[#This Row],[Декабрь]]*Таблица1[[#This Row],[Количество]]</f>
        <v>1273.22</v>
      </c>
      <c r="AI25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15278.639999999998</v>
      </c>
    </row>
    <row r="26" spans="1:35" x14ac:dyDescent="0.25">
      <c r="A26" s="5" t="s">
        <v>46</v>
      </c>
      <c r="B26" s="5" t="s">
        <v>67</v>
      </c>
      <c r="C26" s="5" t="s">
        <v>122</v>
      </c>
      <c r="D26" s="5">
        <v>5.95</v>
      </c>
      <c r="E26" s="5">
        <v>0</v>
      </c>
      <c r="F26" s="6">
        <f t="shared" si="0"/>
        <v>0</v>
      </c>
      <c r="G26" s="5">
        <v>793</v>
      </c>
      <c r="H26" s="5" t="e">
        <f>VLOOKUP(Таблица1[[#This Row],[Идентификатор]],Купоны[],2,0)</f>
        <v>#N/A</v>
      </c>
      <c r="I26" s="5" t="e">
        <f>VLOOKUP(Таблица1[[#This Row],[Идентификатор]],Купоны[],3,0)</f>
        <v>#N/A</v>
      </c>
      <c r="J26" s="5">
        <f t="shared" si="1"/>
        <v>4718.3500000000004</v>
      </c>
      <c r="K26" s="5"/>
      <c r="L26" s="5">
        <f>Таблица1[[#This Row],[Купон]]*Таблица1[[#This Row],[Январь]]*Таблица1[[#This Row],[Количество]]</f>
        <v>0</v>
      </c>
      <c r="M26" s="5"/>
      <c r="N26" s="5">
        <f>Таблица1[[#This Row],[Купон]]*Таблица1[[#This Row],[Февраль]]*Таблица1[[#This Row],[Количество]]</f>
        <v>0</v>
      </c>
      <c r="O26" s="5"/>
      <c r="P26" s="5">
        <f>Таблица1[[#This Row],[Купон]]*Таблица1[[#This Row],[Март]]*Таблица1[[#This Row],[Количество]]</f>
        <v>0</v>
      </c>
      <c r="Q26" s="5"/>
      <c r="R26" s="5">
        <f>Таблица1[[#This Row],[Купон]]*Таблица1[[#This Row],[Апрель]]*Таблица1[[#This Row],[Количество]]</f>
        <v>0</v>
      </c>
      <c r="S26" s="5"/>
      <c r="T26" s="5">
        <f>Таблица1[[#This Row],[Купон]]*Таблица1[[#This Row],[Май]]*Таблица1[[#This Row],[Количество]]</f>
        <v>0</v>
      </c>
      <c r="U26" s="5"/>
      <c r="V26" s="5">
        <f>Таблица1[[#This Row],[Июнь]]*Таблица1[[#This Row],[Купон]]*Таблица1[[#This Row],[Количество]]</f>
        <v>0</v>
      </c>
      <c r="W26" s="5"/>
      <c r="X26" s="5">
        <f>Таблица1[[#This Row],[Купон]]*Таблица1[[#This Row],[Июль]]*Таблица1[[#This Row],[Количество]]</f>
        <v>0</v>
      </c>
      <c r="Y26" s="5"/>
      <c r="Z26" s="5">
        <f>Таблица1[[#This Row],[Купон]]*Таблица1[[#This Row],[Август]]*Таблица1[[#This Row],[Количество]]</f>
        <v>0</v>
      </c>
      <c r="AA26" s="5"/>
      <c r="AB26" s="5">
        <f>Таблица1[[#This Row],[Купон]]*Таблица1[[#This Row],[Сентябрь]]*Таблица1[[#This Row],[Количество]]</f>
        <v>0</v>
      </c>
      <c r="AC26" s="5"/>
      <c r="AD26" s="5">
        <f>Таблица1[[#This Row],[Купон]]*Таблица1[[#This Row],[Октябрь]]*Таблица1[[#This Row],[Количество]]</f>
        <v>0</v>
      </c>
      <c r="AE26" s="5"/>
      <c r="AF26" s="5">
        <f>Таблица1[[#This Row],[Купон]]*Таблица1[[#This Row],[Ноябрь]]*Таблица1[[#This Row],[Количество]]</f>
        <v>0</v>
      </c>
      <c r="AG26" s="5"/>
      <c r="AH26" s="5">
        <f>Таблица1[[#This Row],[Купон]]*Таблица1[[#This Row],[Декабрь]]*Таблица1[[#This Row],[Количество]]</f>
        <v>0</v>
      </c>
      <c r="AI26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0</v>
      </c>
    </row>
    <row r="27" spans="1:35" x14ac:dyDescent="0.25">
      <c r="A27" s="5" t="s">
        <v>93</v>
      </c>
      <c r="B27" s="5" t="s">
        <v>68</v>
      </c>
      <c r="C27" s="5" t="s">
        <v>122</v>
      </c>
      <c r="D27" s="5">
        <v>119.74</v>
      </c>
      <c r="E27" s="5">
        <v>0</v>
      </c>
      <c r="F27" s="6">
        <f t="shared" si="0"/>
        <v>0</v>
      </c>
      <c r="G27" s="5">
        <v>0</v>
      </c>
      <c r="H27" s="5" t="e">
        <f>VLOOKUP(Таблица1[[#This Row],[Идентификатор]],Купоны[],2,0)</f>
        <v>#N/A</v>
      </c>
      <c r="I27" s="5" t="e">
        <f>VLOOKUP(Таблица1[[#This Row],[Идентификатор]],Купоны[],3,0)</f>
        <v>#N/A</v>
      </c>
      <c r="J27" s="5">
        <f t="shared" si="1"/>
        <v>0</v>
      </c>
      <c r="K27" s="5"/>
      <c r="L27" s="5">
        <f>Таблица1[[#This Row],[Купон]]*Таблица1[[#This Row],[Январь]]*Таблица1[[#This Row],[Количество]]</f>
        <v>0</v>
      </c>
      <c r="M27" s="5"/>
      <c r="N27" s="5">
        <f>Таблица1[[#This Row],[Купон]]*Таблица1[[#This Row],[Февраль]]*Таблица1[[#This Row],[Количество]]</f>
        <v>0</v>
      </c>
      <c r="O27" s="5"/>
      <c r="P27" s="5">
        <f>Таблица1[[#This Row],[Купон]]*Таблица1[[#This Row],[Март]]*Таблица1[[#This Row],[Количество]]</f>
        <v>0</v>
      </c>
      <c r="Q27" s="5"/>
      <c r="R27" s="5">
        <f>Таблица1[[#This Row],[Купон]]*Таблица1[[#This Row],[Апрель]]*Таблица1[[#This Row],[Количество]]</f>
        <v>0</v>
      </c>
      <c r="S27" s="5"/>
      <c r="T27" s="5">
        <f>Таблица1[[#This Row],[Купон]]*Таблица1[[#This Row],[Май]]*Таблица1[[#This Row],[Количество]]</f>
        <v>0</v>
      </c>
      <c r="U27" s="5"/>
      <c r="V27" s="5">
        <f>Таблица1[[#This Row],[Июнь]]*Таблица1[[#This Row],[Купон]]*Таблица1[[#This Row],[Количество]]</f>
        <v>0</v>
      </c>
      <c r="W27" s="5"/>
      <c r="X27" s="5">
        <f>Таблица1[[#This Row],[Купон]]*Таблица1[[#This Row],[Июль]]*Таблица1[[#This Row],[Количество]]</f>
        <v>0</v>
      </c>
      <c r="Y27" s="5"/>
      <c r="Z27" s="5">
        <f>Таблица1[[#This Row],[Купон]]*Таблица1[[#This Row],[Август]]*Таблица1[[#This Row],[Количество]]</f>
        <v>0</v>
      </c>
      <c r="AA27" s="5"/>
      <c r="AB27" s="5">
        <f>Таблица1[[#This Row],[Купон]]*Таблица1[[#This Row],[Сентябрь]]*Таблица1[[#This Row],[Количество]]</f>
        <v>0</v>
      </c>
      <c r="AC27" s="5"/>
      <c r="AD27" s="5">
        <f>Таблица1[[#This Row],[Купон]]*Таблица1[[#This Row],[Октябрь]]*Таблица1[[#This Row],[Количество]]</f>
        <v>0</v>
      </c>
      <c r="AE27" s="5"/>
      <c r="AF27" s="5">
        <f>Таблица1[[#This Row],[Купон]]*Таблица1[[#This Row],[Ноябрь]]*Таблица1[[#This Row],[Количество]]</f>
        <v>0</v>
      </c>
      <c r="AG27" s="5"/>
      <c r="AH27" s="5">
        <f>Таблица1[[#This Row],[Купон]]*Таблица1[[#This Row],[Декабрь]]*Таблица1[[#This Row],[Количество]]</f>
        <v>0</v>
      </c>
      <c r="AI27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0</v>
      </c>
    </row>
    <row r="28" spans="1:35" x14ac:dyDescent="0.25">
      <c r="A28" s="5" t="s">
        <v>136</v>
      </c>
      <c r="B28" s="5" t="s">
        <v>89</v>
      </c>
      <c r="C28" s="5" t="s">
        <v>89</v>
      </c>
      <c r="D28" s="5">
        <v>180297</v>
      </c>
      <c r="E28" s="5">
        <v>3000</v>
      </c>
      <c r="F28" s="6">
        <f t="shared" si="0"/>
        <v>1.6639211966921245E-2</v>
      </c>
      <c r="G28" s="5">
        <v>1</v>
      </c>
      <c r="H28" s="5" t="e">
        <f>VLOOKUP(Таблица1[[#This Row],[Идентификатор]],Купоны[],2,0)</f>
        <v>#N/A</v>
      </c>
      <c r="I28" s="5" t="e">
        <f>VLOOKUP(Таблица1[[#This Row],[Идентификатор]],Купоны[],3,0)</f>
        <v>#N/A</v>
      </c>
      <c r="J28" s="5">
        <f t="shared" si="1"/>
        <v>180297</v>
      </c>
      <c r="K28" s="5">
        <v>1</v>
      </c>
      <c r="L28" s="36">
        <f>Таблица1[[#This Row],[Январь]]*Таблица1[[#This Row],[Цена]]*0.2/12</f>
        <v>3004.9500000000003</v>
      </c>
      <c r="M28" s="5">
        <v>1</v>
      </c>
      <c r="N28" s="36">
        <f>Таблица1[[#This Row],[Февраль]]*Таблица1[[#This Row],[Цена]]*0.2/12</f>
        <v>3004.9500000000003</v>
      </c>
      <c r="O28" s="5">
        <v>1</v>
      </c>
      <c r="P28" s="36">
        <f>Таблица1[[#This Row],[Январь]]*Таблица1[[#This Row],[Цена]]*0.2/12</f>
        <v>3004.9500000000003</v>
      </c>
      <c r="Q28" s="5">
        <v>1</v>
      </c>
      <c r="R28" s="36">
        <f>Таблица1[[#This Row],[Январь]]*Таблица1[[#This Row],[Цена]]*0.2/12</f>
        <v>3004.9500000000003</v>
      </c>
      <c r="S28" s="5">
        <v>1</v>
      </c>
      <c r="T28" s="36">
        <f>Таблица1[[#This Row],[Январь]]*Таблица1[[#This Row],[Цена]]*0.2/12</f>
        <v>3004.9500000000003</v>
      </c>
      <c r="U28" s="5">
        <v>1</v>
      </c>
      <c r="V28" s="36">
        <f>Таблица1[[#This Row],[Январь]]*Таблица1[[#This Row],[Цена]]*0.2/12</f>
        <v>3004.9500000000003</v>
      </c>
      <c r="W28" s="5">
        <v>1</v>
      </c>
      <c r="X28" s="36">
        <f>Таблица1[[#This Row],[Январь]]*Таблица1[[#This Row],[Цена]]*0.2/12</f>
        <v>3004.9500000000003</v>
      </c>
      <c r="Y28" s="5">
        <v>1</v>
      </c>
      <c r="Z28" s="36">
        <f>Таблица1[[#This Row],[Январь]]*Таблица1[[#This Row],[Цена]]*0.2/12</f>
        <v>3004.9500000000003</v>
      </c>
      <c r="AA28" s="5">
        <v>1</v>
      </c>
      <c r="AB28" s="36">
        <f>Таблица1[[#This Row],[Январь]]*Таблица1[[#This Row],[Цена]]*0.2/12</f>
        <v>3004.9500000000003</v>
      </c>
      <c r="AC28" s="5">
        <v>1</v>
      </c>
      <c r="AD28" s="36">
        <f>Таблица1[[#This Row],[Январь]]*Таблица1[[#This Row],[Цена]]*0.2/12</f>
        <v>3004.9500000000003</v>
      </c>
      <c r="AE28" s="5">
        <v>1</v>
      </c>
      <c r="AF28" s="36">
        <f>Таблица1[[#This Row],[Январь]]*Таблица1[[#This Row],[Цена]]*0.2/12</f>
        <v>3004.9500000000003</v>
      </c>
      <c r="AG28" s="5">
        <v>1</v>
      </c>
      <c r="AH28" s="36">
        <f>Таблица1[[#This Row],[Январь]]*Таблица1[[#This Row],[Цена]]*0.2/12</f>
        <v>3004.9500000000003</v>
      </c>
      <c r="AI28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36059.4</v>
      </c>
    </row>
    <row r="29" spans="1:35" x14ac:dyDescent="0.25">
      <c r="A29" s="5" t="s">
        <v>94</v>
      </c>
      <c r="B29" s="5" t="s">
        <v>89</v>
      </c>
      <c r="C29" s="5" t="s">
        <v>89</v>
      </c>
      <c r="D29" s="5">
        <v>16137</v>
      </c>
      <c r="E29" s="5">
        <f>Таблица1[[#This Row],[Цена]]*0.15/12</f>
        <v>201.71249999999998</v>
      </c>
      <c r="F29" s="6">
        <f t="shared" si="0"/>
        <v>1.2499999999999999E-2</v>
      </c>
      <c r="G29" s="5">
        <v>1</v>
      </c>
      <c r="H29" s="5" t="e">
        <f>VLOOKUP(Таблица1[[#This Row],[Идентификатор]],Купоны[],2,0)</f>
        <v>#N/A</v>
      </c>
      <c r="I29" s="5" t="e">
        <f>VLOOKUP(Таблица1[[#This Row],[Идентификатор]],Купоны[],3,0)</f>
        <v>#N/A</v>
      </c>
      <c r="J29" s="5">
        <f t="shared" si="1"/>
        <v>16137</v>
      </c>
      <c r="K29" s="5">
        <v>1</v>
      </c>
      <c r="L29" s="5">
        <f>Таблица1[[#This Row],[Купон]]*Таблица1[[#This Row],[Январь]]*Таблица1[[#This Row],[Количество]]</f>
        <v>201.71249999999998</v>
      </c>
      <c r="M29" s="5">
        <v>1</v>
      </c>
      <c r="N29" s="5">
        <f>Таблица1[[#This Row],[Купон]]*Таблица1[[#This Row],[Февраль]]*Таблица1[[#This Row],[Количество]]</f>
        <v>201.71249999999998</v>
      </c>
      <c r="O29" s="5">
        <v>1</v>
      </c>
      <c r="P29" s="5">
        <f>Таблица1[[#This Row],[Купон]]*Таблица1[[#This Row],[Март]]*Таблица1[[#This Row],[Количество]]</f>
        <v>201.71249999999998</v>
      </c>
      <c r="Q29" s="5">
        <v>1</v>
      </c>
      <c r="R29" s="5">
        <f>Таблица1[[#This Row],[Купон]]*Таблица1[[#This Row],[Апрель]]*Таблица1[[#This Row],[Количество]]</f>
        <v>201.71249999999998</v>
      </c>
      <c r="S29" s="5">
        <v>1</v>
      </c>
      <c r="T29" s="5">
        <f>Таблица1[[#This Row],[Купон]]*Таблица1[[#This Row],[Май]]*Таблица1[[#This Row],[Количество]]</f>
        <v>201.71249999999998</v>
      </c>
      <c r="U29" s="5">
        <v>1</v>
      </c>
      <c r="V29" s="5">
        <f>Таблица1[[#This Row],[Июнь]]*Таблица1[[#This Row],[Купон]]*Таблица1[[#This Row],[Количество]]</f>
        <v>201.71249999999998</v>
      </c>
      <c r="W29" s="5">
        <v>1</v>
      </c>
      <c r="X29" s="5">
        <f>Таблица1[[#This Row],[Купон]]*Таблица1[[#This Row],[Июль]]*Таблица1[[#This Row],[Количество]]</f>
        <v>201.71249999999998</v>
      </c>
      <c r="Y29" s="5">
        <v>1</v>
      </c>
      <c r="Z29" s="5">
        <f>Таблица1[[#This Row],[Купон]]*Таблица1[[#This Row],[Август]]*Таблица1[[#This Row],[Количество]]</f>
        <v>201.71249999999998</v>
      </c>
      <c r="AA29" s="5">
        <v>1</v>
      </c>
      <c r="AB29" s="5">
        <f>Таблица1[[#This Row],[Купон]]*Таблица1[[#This Row],[Сентябрь]]*Таблица1[[#This Row],[Количество]]</f>
        <v>201.71249999999998</v>
      </c>
      <c r="AC29" s="5">
        <v>1</v>
      </c>
      <c r="AD29" s="5">
        <f>Таблица1[[#This Row],[Купон]]*Таблица1[[#This Row],[Октябрь]]*Таблица1[[#This Row],[Количество]]</f>
        <v>201.71249999999998</v>
      </c>
      <c r="AE29" s="5">
        <v>1</v>
      </c>
      <c r="AF29" s="5">
        <f>Таблица1[[#This Row],[Купон]]*Таблица1[[#This Row],[Ноябрь]]*Таблица1[[#This Row],[Количество]]</f>
        <v>201.71249999999998</v>
      </c>
      <c r="AG29" s="5">
        <v>1</v>
      </c>
      <c r="AH29" s="5">
        <f>Таблица1[[#This Row],[Купон]]*Таблица1[[#This Row],[Декабрь]]*Таблица1[[#This Row],[Количество]]</f>
        <v>201.71249999999998</v>
      </c>
      <c r="AI29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2420.5500000000002</v>
      </c>
    </row>
    <row r="30" spans="1:35" x14ac:dyDescent="0.25">
      <c r="A30" s="5" t="s">
        <v>97</v>
      </c>
      <c r="B30" s="5" t="s">
        <v>89</v>
      </c>
      <c r="C30" s="5" t="s">
        <v>89</v>
      </c>
      <c r="D30" s="5">
        <v>21000</v>
      </c>
      <c r="E30" s="5">
        <f>Таблица1[[#This Row],[Цена]]*0.16/12</f>
        <v>280</v>
      </c>
      <c r="F30" s="6">
        <f t="shared" si="0"/>
        <v>1.3333333333333334E-2</v>
      </c>
      <c r="G30" s="5">
        <v>1</v>
      </c>
      <c r="H30" s="5" t="e">
        <f>VLOOKUP(Таблица1[[#This Row],[Идентификатор]],Купоны[],2,0)</f>
        <v>#N/A</v>
      </c>
      <c r="I30" s="5" t="e">
        <f>VLOOKUP(Таблица1[[#This Row],[Идентификатор]],Купоны[],3,0)</f>
        <v>#N/A</v>
      </c>
      <c r="J30" s="5">
        <f t="shared" si="1"/>
        <v>21000</v>
      </c>
      <c r="K30" s="5">
        <v>1</v>
      </c>
      <c r="L30" s="5">
        <f>Таблица1[[#This Row],[Купон]]*Таблица1[[#This Row],[Январь]]*Таблица1[[#This Row],[Количество]]</f>
        <v>280</v>
      </c>
      <c r="M30" s="5">
        <v>1</v>
      </c>
      <c r="N30" s="5">
        <f>Таблица1[[#This Row],[Купон]]*Таблица1[[#This Row],[Февраль]]*Таблица1[[#This Row],[Количество]]</f>
        <v>280</v>
      </c>
      <c r="O30" s="5">
        <v>1</v>
      </c>
      <c r="P30" s="5">
        <f>Таблица1[[#This Row],[Купон]]*Таблица1[[#This Row],[Март]]*Таблица1[[#This Row],[Количество]]</f>
        <v>280</v>
      </c>
      <c r="Q30" s="5">
        <v>1</v>
      </c>
      <c r="R30" s="5">
        <f>Таблица1[[#This Row],[Купон]]*Таблица1[[#This Row],[Апрель]]*Таблица1[[#This Row],[Количество]]</f>
        <v>280</v>
      </c>
      <c r="S30" s="5">
        <v>1</v>
      </c>
      <c r="T30" s="5">
        <f>Таблица1[[#This Row],[Купон]]*Таблица1[[#This Row],[Май]]*Таблица1[[#This Row],[Количество]]</f>
        <v>280</v>
      </c>
      <c r="U30" s="5">
        <v>1</v>
      </c>
      <c r="V30" s="5">
        <f>Таблица1[[#This Row],[Июнь]]*Таблица1[[#This Row],[Купон]]*Таблица1[[#This Row],[Количество]]</f>
        <v>280</v>
      </c>
      <c r="W30" s="5">
        <v>1</v>
      </c>
      <c r="X30" s="5">
        <f>Таблица1[[#This Row],[Купон]]*Таблица1[[#This Row],[Июль]]*Таблица1[[#This Row],[Количество]]</f>
        <v>280</v>
      </c>
      <c r="Y30" s="5">
        <v>1</v>
      </c>
      <c r="Z30" s="5">
        <f>Таблица1[[#This Row],[Купон]]*Таблица1[[#This Row],[Август]]*Таблица1[[#This Row],[Количество]]</f>
        <v>280</v>
      </c>
      <c r="AA30" s="5">
        <v>1</v>
      </c>
      <c r="AB30" s="5">
        <f>Таблица1[[#This Row],[Купон]]*Таблица1[[#This Row],[Сентябрь]]*Таблица1[[#This Row],[Количество]]</f>
        <v>280</v>
      </c>
      <c r="AC30" s="5">
        <v>1</v>
      </c>
      <c r="AD30" s="5">
        <f>Таблица1[[#This Row],[Купон]]*Таблица1[[#This Row],[Октябрь]]*Таблица1[[#This Row],[Количество]]</f>
        <v>280</v>
      </c>
      <c r="AE30" s="5">
        <v>1</v>
      </c>
      <c r="AF30" s="5">
        <f>Таблица1[[#This Row],[Купон]]*Таблица1[[#This Row],[Ноябрь]]*Таблица1[[#This Row],[Количество]]</f>
        <v>280</v>
      </c>
      <c r="AG30" s="5">
        <v>1</v>
      </c>
      <c r="AH30" s="5">
        <f>Таблица1[[#This Row],[Купон]]*Таблица1[[#This Row],[Декабрь]]*Таблица1[[#This Row],[Количество]]</f>
        <v>280</v>
      </c>
      <c r="AI30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3360</v>
      </c>
    </row>
    <row r="31" spans="1:35" x14ac:dyDescent="0.25">
      <c r="A31" s="5" t="s">
        <v>134</v>
      </c>
      <c r="B31" s="5" t="s">
        <v>89</v>
      </c>
      <c r="C31" s="5" t="s">
        <v>89</v>
      </c>
      <c r="D31" s="5">
        <v>15417.77</v>
      </c>
      <c r="E31" s="5">
        <f>Таблица1[[#This Row],[Цена]]*0.15/12</f>
        <v>192.72212500000001</v>
      </c>
      <c r="F31" s="6">
        <f t="shared" si="0"/>
        <v>1.2500000000000001E-2</v>
      </c>
      <c r="G31" s="5">
        <v>1</v>
      </c>
      <c r="H31" s="25" t="e">
        <f>VLOOKUP(Таблица1[[#This Row],[Идентификатор]],Купоны[],2,0)</f>
        <v>#N/A</v>
      </c>
      <c r="I31" s="5" t="e">
        <f>VLOOKUP(Таблица1[[#This Row],[Идентификатор]],Купоны[],3,0)</f>
        <v>#N/A</v>
      </c>
      <c r="J31" s="5">
        <f t="shared" si="1"/>
        <v>15417.77</v>
      </c>
      <c r="K31" s="5">
        <v>1</v>
      </c>
      <c r="L31" s="5">
        <f>Таблица1[[#This Row],[Купон]]*Таблица1[[#This Row],[Январь]]*Таблица1[[#This Row],[Количество]]</f>
        <v>192.72212500000001</v>
      </c>
      <c r="M31" s="5">
        <v>1</v>
      </c>
      <c r="N31" s="5">
        <f>Таблица1[[#This Row],[Купон]]*Таблица1[[#This Row],[Февраль]]*Таблица1[[#This Row],[Количество]]</f>
        <v>192.72212500000001</v>
      </c>
      <c r="O31" s="5">
        <v>1</v>
      </c>
      <c r="P31" s="5">
        <f>Таблица1[[#This Row],[Купон]]*Таблица1[[#This Row],[Март]]*Таблица1[[#This Row],[Количество]]</f>
        <v>192.72212500000001</v>
      </c>
      <c r="Q31" s="5">
        <v>1</v>
      </c>
      <c r="R31" s="5">
        <f>Таблица1[[#This Row],[Купон]]*Таблица1[[#This Row],[Апрель]]*Таблица1[[#This Row],[Количество]]</f>
        <v>192.72212500000001</v>
      </c>
      <c r="S31" s="5">
        <v>1</v>
      </c>
      <c r="T31" s="5">
        <f>Таблица1[[#This Row],[Купон]]*Таблица1[[#This Row],[Май]]*Таблица1[[#This Row],[Количество]]</f>
        <v>192.72212500000001</v>
      </c>
      <c r="U31" s="5">
        <v>1</v>
      </c>
      <c r="V31" s="5">
        <f>Таблица1[[#This Row],[Июнь]]*Таблица1[[#This Row],[Купон]]*Таблица1[[#This Row],[Количество]]</f>
        <v>192.72212500000001</v>
      </c>
      <c r="W31" s="5">
        <v>1</v>
      </c>
      <c r="X31" s="5">
        <f>Таблица1[[#This Row],[Купон]]*Таблица1[[#This Row],[Июль]]*Таблица1[[#This Row],[Количество]]</f>
        <v>192.72212500000001</v>
      </c>
      <c r="Y31" s="5">
        <v>1</v>
      </c>
      <c r="Z31" s="5">
        <f>Таблица1[[#This Row],[Купон]]*Таблица1[[#This Row],[Август]]*Таблица1[[#This Row],[Количество]]</f>
        <v>192.72212500000001</v>
      </c>
      <c r="AA31" s="5">
        <v>1</v>
      </c>
      <c r="AB31" s="5">
        <f>Таблица1[[#This Row],[Купон]]*Таблица1[[#This Row],[Сентябрь]]*Таблица1[[#This Row],[Количество]]</f>
        <v>192.72212500000001</v>
      </c>
      <c r="AC31" s="5">
        <v>1</v>
      </c>
      <c r="AD31" s="5">
        <f>Таблица1[[#This Row],[Купон]]*Таблица1[[#This Row],[Октябрь]]*Таблица1[[#This Row],[Количество]]</f>
        <v>192.72212500000001</v>
      </c>
      <c r="AE31" s="5">
        <v>1</v>
      </c>
      <c r="AF31" s="5">
        <f>Таблица1[[#This Row],[Купон]]*Таблица1[[#This Row],[Ноябрь]]*Таблица1[[#This Row],[Количество]]</f>
        <v>192.72212500000001</v>
      </c>
      <c r="AG31" s="5">
        <v>1</v>
      </c>
      <c r="AH31" s="5">
        <f>Таблица1[[#This Row],[Купон]]*Таблица1[[#This Row],[Декабрь]]*Таблица1[[#This Row],[Количество]]</f>
        <v>192.72212500000001</v>
      </c>
      <c r="AI31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2312.6655000000001</v>
      </c>
    </row>
    <row r="32" spans="1:35" x14ac:dyDescent="0.25">
      <c r="A32" s="5" t="s">
        <v>125</v>
      </c>
      <c r="B32" s="5" t="s">
        <v>126</v>
      </c>
      <c r="C32" s="5" t="s">
        <v>126</v>
      </c>
      <c r="D32" s="5">
        <f>Дашборд!D25*0.13</f>
        <v>10704.539299999999</v>
      </c>
      <c r="E32" s="5">
        <f>Таблица1[[#This Row],[Цена]]</f>
        <v>10704.539299999999</v>
      </c>
      <c r="F32" s="6">
        <f t="shared" si="0"/>
        <v>1</v>
      </c>
      <c r="G32" s="5">
        <v>1</v>
      </c>
      <c r="H32" s="25" t="e">
        <f>VLOOKUP(Таблица1[[#This Row],[Идентификатор]],Купоны[],2,0)</f>
        <v>#N/A</v>
      </c>
      <c r="I32" s="5" t="e">
        <f>VLOOKUP(Таблица1[[#This Row],[Идентификатор]],Купоны[],3,0)</f>
        <v>#N/A</v>
      </c>
      <c r="J32" s="5">
        <f t="shared" si="1"/>
        <v>10704.539299999999</v>
      </c>
      <c r="K32" s="5"/>
      <c r="L32" s="5">
        <f>Таблица1[[#This Row],[Купон]]*Таблица1[[#This Row],[Январь]]*Таблица1[[#This Row],[Количество]]</f>
        <v>0</v>
      </c>
      <c r="M32" s="5"/>
      <c r="N32" s="5">
        <f>Таблица1[[#This Row],[Купон]]*Таблица1[[#This Row],[Февраль]]*Таблица1[[#This Row],[Количество]]</f>
        <v>0</v>
      </c>
      <c r="O32" s="5"/>
      <c r="P32" s="5">
        <f>Таблица1[[#This Row],[Купон]]*Таблица1[[#This Row],[Март]]*Таблица1[[#This Row],[Количество]]</f>
        <v>0</v>
      </c>
      <c r="Q32" s="5">
        <v>1</v>
      </c>
      <c r="R32" s="5">
        <f>Таблица1[[#This Row],[Купон]]*Таблица1[[#This Row],[Апрель]]*Таблица1[[#This Row],[Количество]]</f>
        <v>10704.539299999999</v>
      </c>
      <c r="S32" s="5"/>
      <c r="T32" s="5">
        <f>Таблица1[[#This Row],[Купон]]*Таблица1[[#This Row],[Май]]*Таблица1[[#This Row],[Количество]]</f>
        <v>0</v>
      </c>
      <c r="U32" s="5"/>
      <c r="V32" s="5">
        <f>Таблица1[[#This Row],[Июнь]]*Таблица1[[#This Row],[Купон]]*Таблица1[[#This Row],[Количество]]</f>
        <v>0</v>
      </c>
      <c r="W32" s="5"/>
      <c r="X32" s="5">
        <f>Таблица1[[#This Row],[Купон]]*Таблица1[[#This Row],[Июль]]*Таблица1[[#This Row],[Количество]]</f>
        <v>0</v>
      </c>
      <c r="Y32" s="5"/>
      <c r="Z32" s="5">
        <f>Таблица1[[#This Row],[Купон]]*Таблица1[[#This Row],[Август]]*Таблица1[[#This Row],[Количество]]</f>
        <v>0</v>
      </c>
      <c r="AA32" s="5"/>
      <c r="AB32" s="5">
        <f>Таблица1[[#This Row],[Купон]]*Таблица1[[#This Row],[Сентябрь]]*Таблица1[[#This Row],[Количество]]</f>
        <v>0</v>
      </c>
      <c r="AC32" s="5"/>
      <c r="AD32" s="5">
        <f>Таблица1[[#This Row],[Купон]]*Таблица1[[#This Row],[Октябрь]]*Таблица1[[#This Row],[Количество]]</f>
        <v>0</v>
      </c>
      <c r="AE32" s="5"/>
      <c r="AF32" s="5">
        <f>Таблица1[[#This Row],[Купон]]*Таблица1[[#This Row],[Ноябрь]]*Таблица1[[#This Row],[Количество]]</f>
        <v>0</v>
      </c>
      <c r="AG32" s="5"/>
      <c r="AH32" s="5">
        <f>Таблица1[[#This Row],[Купон]]*Таблица1[[#This Row],[Декабрь]]*Таблица1[[#This Row],[Количество]]</f>
        <v>0</v>
      </c>
      <c r="AI32" s="7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10704.539299999999</v>
      </c>
    </row>
    <row r="33" spans="1:35" x14ac:dyDescent="0.25">
      <c r="A33" s="5" t="s">
        <v>135</v>
      </c>
      <c r="B33" s="5" t="s">
        <v>135</v>
      </c>
      <c r="C33" s="5" t="s">
        <v>89</v>
      </c>
      <c r="D33" s="5">
        <v>3169.21</v>
      </c>
      <c r="E33" s="5">
        <f>Таблица1[[#This Row],[Цена]]*0.2/12</f>
        <v>52.820166666666672</v>
      </c>
      <c r="F33" s="6">
        <f t="shared" si="0"/>
        <v>1.666666666666667E-2</v>
      </c>
      <c r="G33" s="5">
        <v>1</v>
      </c>
      <c r="H33" s="25" t="e">
        <f>VLOOKUP(Таблица1[[#This Row],[Идентификатор]],Купоны[],2,0)</f>
        <v>#N/A</v>
      </c>
      <c r="I33" s="38" t="e">
        <f>VLOOKUP(Таблица1[[#This Row],[Идентификатор]],Купоны[],3,0)</f>
        <v>#N/A</v>
      </c>
      <c r="J33" s="5">
        <f t="shared" si="1"/>
        <v>3169.21</v>
      </c>
      <c r="K33" s="5">
        <v>1</v>
      </c>
      <c r="L33" s="36">
        <f>Таблица1[[#This Row],[Январь]]*Таблица1[[#This Row],[Цена]]*0.2/12</f>
        <v>52.820166666666672</v>
      </c>
      <c r="M33" s="5">
        <v>1</v>
      </c>
      <c r="N33" s="36">
        <f>Таблица1[[#This Row],[Январь]]*Таблица1[[#This Row],[Цена]]*0.2/12</f>
        <v>52.820166666666672</v>
      </c>
      <c r="O33" s="5">
        <v>1</v>
      </c>
      <c r="P33" s="36">
        <f>Таблица1[[#This Row],[Январь]]*Таблица1[[#This Row],[Цена]]*0.2/12</f>
        <v>52.820166666666672</v>
      </c>
      <c r="Q33" s="5">
        <v>1</v>
      </c>
      <c r="R33" s="36">
        <f>Таблица1[[#This Row],[Январь]]*Таблица1[[#This Row],[Цена]]*0.2/12</f>
        <v>52.820166666666672</v>
      </c>
      <c r="S33" s="5">
        <v>1</v>
      </c>
      <c r="T33" s="36">
        <f>Таблица1[[#This Row],[Январь]]*Таблица1[[#This Row],[Цена]]*0.2/12</f>
        <v>52.820166666666672</v>
      </c>
      <c r="U33" s="5">
        <v>1</v>
      </c>
      <c r="V33" s="36">
        <f>Таблица1[[#This Row],[Январь]]*Таблица1[[#This Row],[Цена]]*0.2/12</f>
        <v>52.820166666666672</v>
      </c>
      <c r="W33" s="5">
        <v>1</v>
      </c>
      <c r="X33" s="36">
        <f>Таблица1[[#This Row],[Январь]]*Таблица1[[#This Row],[Цена]]*0.2/12</f>
        <v>52.820166666666672</v>
      </c>
      <c r="Y33" s="5">
        <v>1</v>
      </c>
      <c r="Z33" s="36">
        <f>Таблица1[[#This Row],[Январь]]*Таблица1[[#This Row],[Цена]]*0.2/12</f>
        <v>52.820166666666672</v>
      </c>
      <c r="AA33" s="5">
        <v>1</v>
      </c>
      <c r="AB33" s="36">
        <f>Таблица1[[#This Row],[Январь]]*Таблица1[[#This Row],[Цена]]*0.2/12</f>
        <v>52.820166666666672</v>
      </c>
      <c r="AC33" s="5">
        <v>1</v>
      </c>
      <c r="AD33" s="36">
        <f>Таблица1[[#This Row],[Январь]]*Таблица1[[#This Row],[Цена]]*0.2/12</f>
        <v>52.820166666666672</v>
      </c>
      <c r="AE33" s="5">
        <v>1</v>
      </c>
      <c r="AF33" s="36">
        <f>Таблица1[[#This Row],[Январь]]*Таблица1[[#This Row],[Цена]]*0.2/12</f>
        <v>52.820166666666672</v>
      </c>
      <c r="AG33" s="5">
        <v>1</v>
      </c>
      <c r="AH33" s="36">
        <f>Таблица1[[#This Row],[Январь]]*Таблица1[[#This Row],[Цена]]*0.2/12</f>
        <v>52.820166666666672</v>
      </c>
      <c r="AI33" s="39">
        <f>SUM(Таблица1[[#This Row],[Январь2]],Таблица1[[#This Row],[Февраль2]],Таблица1[[#This Row],[Март2]],Таблица1[[#This Row],[Апрель2]],Таблица1[[#This Row],[Май2]],Таблица1[[#This Row],[Июнь2]],Таблица1[[#This Row],[Июль2]],Таблица1[[#This Row],[Август2]],Таблица1[[#This Row],[Сентябрь2]],Таблица1[[#This Row],[Октябрь2]],Таблица1[[#This Row],[Ноябрь2]],Таблица1[[#This Row],[Декабрь2]])</f>
        <v>633.8420000000001</v>
      </c>
    </row>
    <row r="34" spans="1:35" x14ac:dyDescent="0.25">
      <c r="A34" s="2" t="s">
        <v>69</v>
      </c>
      <c r="F34" s="4">
        <f>SUBTOTAL(101,Таблица1[Доходность])</f>
        <v>6.6492347994426687E-2</v>
      </c>
      <c r="J34" s="2">
        <f>SUBTOTAL(109,Таблица1[Затраты на покупку])</f>
        <v>466782.5993</v>
      </c>
      <c r="L34" s="2">
        <f>SUBTOTAL(109,Таблица1[Январь2])</f>
        <v>6315.7947916666672</v>
      </c>
      <c r="N34" s="2">
        <f>SUBTOTAL(109,Таблица1[Февраль2])</f>
        <v>6421.574791666666</v>
      </c>
      <c r="P34" s="2">
        <f>SUBTOTAL(109,Таблица1[Март2])</f>
        <v>5860.6747916666664</v>
      </c>
      <c r="R34" s="2">
        <f>SUBTOTAL(109,Таблица1[Апрель2])</f>
        <v>17090.184091666666</v>
      </c>
      <c r="T34" s="2">
        <f>SUBTOTAL(109,Таблица1[Май2])</f>
        <v>6859.9147916666661</v>
      </c>
      <c r="V34" s="2">
        <f>SUBTOTAL(109,Таблица1[Июнь2])</f>
        <v>6743.954791666667</v>
      </c>
      <c r="X34" s="2">
        <f>SUBTOTAL(109,Таблица1[Июль2])</f>
        <v>6286.3747916666671</v>
      </c>
      <c r="Z34" s="2">
        <f>SUBTOTAL(109,Таблица1[Август2])</f>
        <v>6421.574791666666</v>
      </c>
      <c r="AB34" s="2">
        <f>SUBTOTAL(109,Таблица1[Сентябрь2])</f>
        <v>5860.6747916666664</v>
      </c>
      <c r="AD34" s="2">
        <f>SUBTOTAL(109,Таблица1[Октябрь2])</f>
        <v>6701.2447916666661</v>
      </c>
      <c r="AF34" s="2">
        <f>SUBTOTAL(109,Таблица1[Ноябрь2])</f>
        <v>6544.3147916666667</v>
      </c>
      <c r="AH34" s="2">
        <f>SUBTOTAL(109,Таблица1[Декабрь2])</f>
        <v>6743.954791666667</v>
      </c>
      <c r="AI34">
        <f>SUBTOTAL(109,Таблица1[Сумма])</f>
        <v>87850.236800000028</v>
      </c>
    </row>
    <row r="35" spans="1:35" ht="15" customHeight="1" x14ac:dyDescent="0.25"/>
    <row r="36" spans="1:35" ht="15" customHeight="1" x14ac:dyDescent="0.25"/>
    <row r="37" spans="1:35" ht="15" customHeight="1" x14ac:dyDescent="0.25"/>
    <row r="38" spans="1:35" ht="15" customHeight="1" x14ac:dyDescent="0.25"/>
    <row r="39" spans="1:35" ht="33.75" customHeight="1" x14ac:dyDescent="0.25"/>
  </sheetData>
  <phoneticPr fontId="3" type="noConversion"/>
  <pageMargins left="0.7" right="0.7" top="0.75" bottom="0.75" header="0.3" footer="0.3"/>
  <pageSetup paperSize="9" orientation="portrait" verticalDpi="0" r:id="rId1"/>
  <ignoredErrors>
    <ignoredError sqref="L28" 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BBEF-02D1-4352-B027-E36802D413EA}">
  <sheetPr codeName="Лист6"/>
  <dimension ref="A1:C8"/>
  <sheetViews>
    <sheetView workbookViewId="0">
      <selection activeCell="G35" sqref="G35"/>
    </sheetView>
  </sheetViews>
  <sheetFormatPr defaultRowHeight="15" x14ac:dyDescent="0.25"/>
  <cols>
    <col min="1" max="1" width="10.140625" bestFit="1" customWidth="1"/>
    <col min="2" max="2" width="19.5703125" bestFit="1" customWidth="1"/>
    <col min="3" max="3" width="9.5703125" bestFit="1" customWidth="1"/>
  </cols>
  <sheetData>
    <row r="1" spans="1:3" x14ac:dyDescent="0.25">
      <c r="A1" t="s">
        <v>127</v>
      </c>
      <c r="B1" t="s">
        <v>128</v>
      </c>
      <c r="C1" t="s">
        <v>17</v>
      </c>
    </row>
    <row r="2" spans="1:3" x14ac:dyDescent="0.25">
      <c r="A2" s="24">
        <v>45589</v>
      </c>
      <c r="B2" t="s">
        <v>129</v>
      </c>
      <c r="C2">
        <v>1850</v>
      </c>
    </row>
    <row r="3" spans="1:3" x14ac:dyDescent="0.25">
      <c r="A3" s="24">
        <v>45589</v>
      </c>
      <c r="B3" t="s">
        <v>130</v>
      </c>
      <c r="C3">
        <v>1850</v>
      </c>
    </row>
    <row r="4" spans="1:3" x14ac:dyDescent="0.25">
      <c r="A4" s="24">
        <v>45590</v>
      </c>
      <c r="B4" t="s">
        <v>131</v>
      </c>
      <c r="C4">
        <v>11000</v>
      </c>
    </row>
    <row r="5" spans="1:3" x14ac:dyDescent="0.25">
      <c r="A5" s="24">
        <v>45590</v>
      </c>
      <c r="B5" t="s">
        <v>131</v>
      </c>
      <c r="C5">
        <v>11000</v>
      </c>
    </row>
    <row r="6" spans="1:3" x14ac:dyDescent="0.25">
      <c r="A6" s="24">
        <v>45590</v>
      </c>
      <c r="B6" t="s">
        <v>130</v>
      </c>
      <c r="C6">
        <v>891</v>
      </c>
    </row>
    <row r="7" spans="1:3" x14ac:dyDescent="0.25">
      <c r="A7" s="24">
        <v>45590</v>
      </c>
      <c r="B7" t="s">
        <v>132</v>
      </c>
      <c r="C7">
        <v>594</v>
      </c>
    </row>
    <row r="8" spans="1:3" x14ac:dyDescent="0.25">
      <c r="A8" s="24">
        <v>45598</v>
      </c>
      <c r="B8" t="s">
        <v>133</v>
      </c>
      <c r="C8">
        <v>17600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Operation">
                <anchor moveWithCells="1" sizeWithCells="1">
                  <from>
                    <xdr:col>4</xdr:col>
                    <xdr:colOff>266700</xdr:colOff>
                    <xdr:row>2</xdr:row>
                    <xdr:rowOff>0</xdr:rowOff>
                  </from>
                  <to>
                    <xdr:col>6</xdr:col>
                    <xdr:colOff>314325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0EB1-29FF-46B6-B57D-0EDD786D6BE0}">
  <sheetPr codeName="Лист3"/>
  <dimension ref="A1:B7"/>
  <sheetViews>
    <sheetView workbookViewId="0">
      <selection activeCell="B3" sqref="B3"/>
    </sheetView>
  </sheetViews>
  <sheetFormatPr defaultRowHeight="15" x14ac:dyDescent="0.25"/>
  <cols>
    <col min="1" max="1" width="17.28515625" bestFit="1" customWidth="1"/>
    <col min="2" max="2" width="34.5703125" bestFit="1" customWidth="1"/>
  </cols>
  <sheetData>
    <row r="1" spans="1:2" x14ac:dyDescent="0.25">
      <c r="A1" s="26" t="s">
        <v>101</v>
      </c>
      <c r="B1" t="s">
        <v>123</v>
      </c>
    </row>
    <row r="2" spans="1:2" x14ac:dyDescent="0.25">
      <c r="A2" s="27" t="s">
        <v>89</v>
      </c>
      <c r="B2" s="37">
        <v>195278.65</v>
      </c>
    </row>
    <row r="3" spans="1:2" x14ac:dyDescent="0.25">
      <c r="A3" s="27" t="s">
        <v>121</v>
      </c>
      <c r="B3" s="37">
        <v>11068.52</v>
      </c>
    </row>
    <row r="4" spans="1:2" x14ac:dyDescent="0.25">
      <c r="A4" s="27" t="s">
        <v>120</v>
      </c>
      <c r="B4" s="37">
        <v>111722.18000000001</v>
      </c>
    </row>
    <row r="5" spans="1:2" x14ac:dyDescent="0.25">
      <c r="A5" s="27" t="s">
        <v>122</v>
      </c>
      <c r="B5" s="37">
        <v>12943.213100000001</v>
      </c>
    </row>
    <row r="6" spans="1:2" x14ac:dyDescent="0.25">
      <c r="A6" s="27" t="s">
        <v>126</v>
      </c>
      <c r="B6" s="37">
        <v>10704.539299999999</v>
      </c>
    </row>
    <row r="7" spans="1:2" x14ac:dyDescent="0.25">
      <c r="A7" s="27" t="s">
        <v>102</v>
      </c>
      <c r="B7" s="37">
        <v>341717.10239999997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25BC-B43A-41AF-ADCF-BC0E97718AE5}">
  <sheetPr codeName="Лист5"/>
  <dimension ref="A1:C32"/>
  <sheetViews>
    <sheetView zoomScale="130" zoomScaleNormal="130" workbookViewId="0">
      <selection activeCell="A7" sqref="A7"/>
    </sheetView>
  </sheetViews>
  <sheetFormatPr defaultRowHeight="15" x14ac:dyDescent="0.25"/>
  <cols>
    <col min="1" max="1" width="26.42578125" customWidth="1"/>
    <col min="2" max="2" width="18" customWidth="1"/>
    <col min="3" max="3" width="15.85546875" customWidth="1"/>
  </cols>
  <sheetData>
    <row r="1" spans="1:3" x14ac:dyDescent="0.25">
      <c r="A1" s="22" t="s">
        <v>13</v>
      </c>
      <c r="B1" s="22" t="s">
        <v>98</v>
      </c>
      <c r="C1" s="22" t="s">
        <v>99</v>
      </c>
    </row>
    <row r="2" spans="1:3" x14ac:dyDescent="0.25">
      <c r="A2" s="23" t="s">
        <v>12</v>
      </c>
      <c r="B2" s="23">
        <v>2041</v>
      </c>
      <c r="C2" s="23">
        <v>2</v>
      </c>
    </row>
    <row r="3" spans="1:3" x14ac:dyDescent="0.25">
      <c r="A3" s="23" t="s">
        <v>82</v>
      </c>
      <c r="B3" s="23">
        <v>2035</v>
      </c>
      <c r="C3" s="23">
        <v>2</v>
      </c>
    </row>
    <row r="4" spans="1:3" x14ac:dyDescent="0.25">
      <c r="A4" s="23" t="s">
        <v>83</v>
      </c>
      <c r="B4" s="23">
        <v>2033</v>
      </c>
      <c r="C4" s="23">
        <v>2</v>
      </c>
    </row>
    <row r="5" spans="1:3" x14ac:dyDescent="0.25">
      <c r="A5" s="23" t="s">
        <v>53</v>
      </c>
      <c r="B5" s="23">
        <v>2029</v>
      </c>
      <c r="C5" s="23">
        <v>2</v>
      </c>
    </row>
    <row r="6" spans="1:3" x14ac:dyDescent="0.25">
      <c r="A6" s="23" t="s">
        <v>84</v>
      </c>
      <c r="B6" s="23">
        <v>2031</v>
      </c>
      <c r="C6" s="23">
        <v>2</v>
      </c>
    </row>
    <row r="7" spans="1:3" x14ac:dyDescent="0.25">
      <c r="A7" s="23" t="s">
        <v>85</v>
      </c>
      <c r="B7" s="23">
        <v>2027</v>
      </c>
      <c r="C7" s="23">
        <v>2</v>
      </c>
    </row>
    <row r="8" spans="1:3" x14ac:dyDescent="0.25">
      <c r="A8" s="23" t="s">
        <v>22</v>
      </c>
      <c r="B8" s="40">
        <v>46205</v>
      </c>
      <c r="C8" s="23">
        <v>2</v>
      </c>
    </row>
    <row r="9" spans="1:3" x14ac:dyDescent="0.25">
      <c r="A9" s="23" t="s">
        <v>23</v>
      </c>
      <c r="B9" s="23">
        <v>2026</v>
      </c>
      <c r="C9" s="23">
        <v>4</v>
      </c>
    </row>
    <row r="10" spans="1:3" x14ac:dyDescent="0.25">
      <c r="A10" s="23" t="s">
        <v>24</v>
      </c>
      <c r="B10" s="23">
        <v>2025</v>
      </c>
      <c r="C10" s="23">
        <v>4</v>
      </c>
    </row>
    <row r="11" spans="1:3" x14ac:dyDescent="0.25">
      <c r="A11" s="23" t="s">
        <v>25</v>
      </c>
      <c r="B11" s="23">
        <v>2026</v>
      </c>
      <c r="C11" s="23">
        <v>4</v>
      </c>
    </row>
    <row r="12" spans="1:3" x14ac:dyDescent="0.25">
      <c r="A12" s="23" t="s">
        <v>27</v>
      </c>
      <c r="B12" s="23">
        <v>2026</v>
      </c>
      <c r="C12" s="23">
        <v>4</v>
      </c>
    </row>
    <row r="13" spans="1:3" x14ac:dyDescent="0.25">
      <c r="A13" s="23" t="s">
        <v>29</v>
      </c>
      <c r="B13" s="23">
        <v>2025</v>
      </c>
      <c r="C13" s="23">
        <v>4</v>
      </c>
    </row>
    <row r="14" spans="1:3" x14ac:dyDescent="0.25">
      <c r="A14" s="23" t="s">
        <v>47</v>
      </c>
      <c r="B14" s="23">
        <v>2024</v>
      </c>
      <c r="C14" s="23">
        <v>4</v>
      </c>
    </row>
    <row r="15" spans="1:3" x14ac:dyDescent="0.25">
      <c r="A15" s="23" t="s">
        <v>48</v>
      </c>
      <c r="B15" s="23">
        <v>2024</v>
      </c>
      <c r="C15" s="23">
        <v>4</v>
      </c>
    </row>
    <row r="16" spans="1:3" x14ac:dyDescent="0.25">
      <c r="A16" s="23" t="s">
        <v>49</v>
      </c>
      <c r="B16" s="23">
        <v>2024</v>
      </c>
      <c r="C16" s="23">
        <v>4</v>
      </c>
    </row>
    <row r="17" spans="1:3" x14ac:dyDescent="0.25">
      <c r="A17" s="23" t="s">
        <v>50</v>
      </c>
      <c r="B17" s="23">
        <v>2028</v>
      </c>
      <c r="C17" s="23">
        <v>2</v>
      </c>
    </row>
    <row r="18" spans="1:3" x14ac:dyDescent="0.25">
      <c r="A18" s="23" t="s">
        <v>53</v>
      </c>
      <c r="B18" s="23">
        <v>2029</v>
      </c>
      <c r="C18" s="23">
        <v>2</v>
      </c>
    </row>
    <row r="19" spans="1:3" x14ac:dyDescent="0.25">
      <c r="A19" s="23" t="s">
        <v>55</v>
      </c>
      <c r="B19" s="23">
        <v>2030</v>
      </c>
      <c r="C19" s="23">
        <v>2</v>
      </c>
    </row>
    <row r="20" spans="1:3" x14ac:dyDescent="0.25">
      <c r="A20" s="23" t="s">
        <v>57</v>
      </c>
      <c r="B20" s="23">
        <v>2036</v>
      </c>
      <c r="C20" s="23">
        <v>2</v>
      </c>
    </row>
    <row r="21" spans="1:3" x14ac:dyDescent="0.25">
      <c r="A21" s="23" t="s">
        <v>51</v>
      </c>
      <c r="B21" s="23">
        <v>2035</v>
      </c>
      <c r="C21" s="23">
        <v>2</v>
      </c>
    </row>
    <row r="22" spans="1:3" x14ac:dyDescent="0.25">
      <c r="A22" s="23" t="s">
        <v>58</v>
      </c>
      <c r="B22" s="23">
        <v>2036</v>
      </c>
      <c r="C22" s="23">
        <v>2</v>
      </c>
    </row>
    <row r="23" spans="1:3" x14ac:dyDescent="0.25">
      <c r="A23" s="23" t="s">
        <v>60</v>
      </c>
      <c r="B23" s="23">
        <v>2028</v>
      </c>
      <c r="C23" s="23">
        <v>2</v>
      </c>
    </row>
    <row r="24" spans="1:3" x14ac:dyDescent="0.25">
      <c r="A24" s="23" t="s">
        <v>59</v>
      </c>
      <c r="B24" s="23">
        <v>2026</v>
      </c>
      <c r="C24" s="23">
        <v>2</v>
      </c>
    </row>
    <row r="25" spans="1:3" x14ac:dyDescent="0.25">
      <c r="A25" s="23" t="s">
        <v>56</v>
      </c>
      <c r="B25" s="23">
        <v>2028</v>
      </c>
      <c r="C25" s="23">
        <v>2</v>
      </c>
    </row>
    <row r="26" spans="1:3" x14ac:dyDescent="0.25">
      <c r="A26" s="23" t="s">
        <v>54</v>
      </c>
      <c r="B26" s="23">
        <v>2034</v>
      </c>
      <c r="C26" s="23">
        <v>2</v>
      </c>
    </row>
    <row r="27" spans="1:3" x14ac:dyDescent="0.25">
      <c r="A27" s="23" t="s">
        <v>61</v>
      </c>
      <c r="B27" s="23">
        <v>2035</v>
      </c>
      <c r="C27" s="23">
        <v>2</v>
      </c>
    </row>
    <row r="28" spans="1:3" x14ac:dyDescent="0.25">
      <c r="A28" s="23" t="s">
        <v>52</v>
      </c>
      <c r="B28" s="23">
        <v>2036</v>
      </c>
      <c r="C28" s="23">
        <v>2</v>
      </c>
    </row>
    <row r="29" spans="1:3" x14ac:dyDescent="0.25">
      <c r="A29" s="23" t="s">
        <v>62</v>
      </c>
      <c r="B29" s="23">
        <v>2036</v>
      </c>
      <c r="C29" s="23">
        <v>2</v>
      </c>
    </row>
    <row r="30" spans="1:3" x14ac:dyDescent="0.25">
      <c r="A30" s="23" t="s">
        <v>64</v>
      </c>
      <c r="B30" s="23">
        <v>2026</v>
      </c>
      <c r="C30" s="23">
        <v>12</v>
      </c>
    </row>
    <row r="31" spans="1:3" x14ac:dyDescent="0.25">
      <c r="A31" s="23" t="s">
        <v>63</v>
      </c>
      <c r="B31" s="23">
        <v>2026</v>
      </c>
      <c r="C31" s="23">
        <v>4</v>
      </c>
    </row>
    <row r="32" spans="1:3" x14ac:dyDescent="0.25">
      <c r="A32" s="23" t="s">
        <v>65</v>
      </c>
      <c r="B32" s="23">
        <v>2028</v>
      </c>
      <c r="C32" s="23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Дашборд</vt:lpstr>
      <vt:lpstr>Основная таблица</vt:lpstr>
      <vt:lpstr>Операции</vt:lpstr>
      <vt:lpstr>Лист2</vt:lpstr>
      <vt:lpstr>Срок погашения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2024-10-08T05:48:05Z</dcterms:created>
  <dcterms:modified xsi:type="dcterms:W3CDTF">2025-04-10T14:21:54Z</dcterms:modified>
</cp:coreProperties>
</file>